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pivotCacheDefinition+xml" PartName="/xl/pivotCache/pivotCacheDefinition1.xml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pivotTable+xml" PartName="/xl/pivotTables/pivotTable1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ashboard" sheetId="1" r:id="rId5"/>
    <sheet state="visible" name="Journal" sheetId="2" r:id="rId6"/>
    <sheet state="visible" name="Paramètre" sheetId="3" r:id="rId7"/>
    <sheet state="visible" name="Nombre de points CSM" sheetId="4" r:id="rId8"/>
    <sheet state="visible" name="Statistiques " sheetId="5" r:id="rId9"/>
  </sheets>
  <definedNames/>
  <calcPr/>
  <pivotCaches>
    <pivotCache cacheId="0" r:id="rId10"/>
  </pivotCaches>
</workbook>
</file>

<file path=xl/sharedStrings.xml><?xml version="1.0" encoding="utf-8"?>
<sst xmlns="http://schemas.openxmlformats.org/spreadsheetml/2006/main" count="407" uniqueCount="117">
  <si>
    <t>Nom du CSM</t>
  </si>
  <si>
    <t xml:space="preserve">Points attribués </t>
  </si>
  <si>
    <t xml:space="preserve">Plafond Mensuel (de 1 à 15) </t>
  </si>
  <si>
    <t>Statut (Alerte)</t>
  </si>
  <si>
    <t>Anne-Charlotte</t>
  </si>
  <si>
    <t>Laurane</t>
  </si>
  <si>
    <t>Deydra</t>
  </si>
  <si>
    <t>Sherazade</t>
  </si>
  <si>
    <t>Tara</t>
  </si>
  <si>
    <t xml:space="preserve">Aika </t>
  </si>
  <si>
    <t xml:space="preserve">Ghislaine </t>
  </si>
  <si>
    <t xml:space="preserve">Date </t>
  </si>
  <si>
    <t>Hôtel</t>
  </si>
  <si>
    <t>Niveau</t>
  </si>
  <si>
    <t xml:space="preserve">Type </t>
  </si>
  <si>
    <t xml:space="preserve">Dmbook seul ? </t>
  </si>
  <si>
    <t>Points</t>
  </si>
  <si>
    <t>CSM</t>
  </si>
  <si>
    <t xml:space="preserve">Fontenille </t>
  </si>
  <si>
    <t>Gold</t>
  </si>
  <si>
    <t>Individuel</t>
  </si>
  <si>
    <t>No</t>
  </si>
  <si>
    <t xml:space="preserve">2L (nouveau site) </t>
  </si>
  <si>
    <t>Groupe</t>
  </si>
  <si>
    <t>Hotel Ryzlink</t>
  </si>
  <si>
    <t>Bronze</t>
  </si>
  <si>
    <t>LA FERME DE LA RANÇONNIÈRE</t>
  </si>
  <si>
    <t>Silver</t>
  </si>
  <si>
    <t>HOTEL BEAUVOIR</t>
  </si>
  <si>
    <t>HOTEL NUAGE</t>
  </si>
  <si>
    <t>HOTEL PARIS BASTILLE</t>
  </si>
  <si>
    <t>HOTEL EXCELSIOR SAINT RAPHAEL</t>
  </si>
  <si>
    <t>HOTEL KEPPLER</t>
  </si>
  <si>
    <t>INTERCONTINENTAL CHANTILLY CHÂTEAU MONT ROYAL</t>
  </si>
  <si>
    <t xml:space="preserve">Hotel Spa Beau Site Talloires </t>
  </si>
  <si>
    <t>La réserve Albi</t>
  </si>
  <si>
    <t>Royal Ambarrukmo Yogyakarta</t>
  </si>
  <si>
    <t>HOTEL RESEDA</t>
  </si>
  <si>
    <t xml:space="preserve">Experianciah </t>
  </si>
  <si>
    <t>Key</t>
  </si>
  <si>
    <t>Hôtel les Brises</t>
  </si>
  <si>
    <t>Albergo San Marco (SAN MARCO HOTELS)</t>
  </si>
  <si>
    <t>Maison La Bohème Montmartre</t>
  </si>
  <si>
    <t xml:space="preserve">Tikayan </t>
  </si>
  <si>
    <t>Columbus Monte Carlo</t>
  </si>
  <si>
    <t>Yes</t>
  </si>
  <si>
    <t xml:space="preserve"> BW Le Relais du Vigneron</t>
  </si>
  <si>
    <t>Hôtel Faubourg Galant Paris</t>
  </si>
  <si>
    <t>Les Deux Girafes</t>
  </si>
  <si>
    <t>Hôtel Lumen Paris</t>
  </si>
  <si>
    <t xml:space="preserve">CAP D'ANTIBES </t>
  </si>
  <si>
    <t>Auberge Adveniat</t>
  </si>
  <si>
    <t>Hampton by Hilton Dublin City Centre</t>
  </si>
  <si>
    <t>Groupe SGHL</t>
  </si>
  <si>
    <t xml:space="preserve">Damantin </t>
  </si>
  <si>
    <t>Konventa Seta</t>
  </si>
  <si>
    <t>Bus Palladium</t>
  </si>
  <si>
    <t>Vytautas mineral spa</t>
  </si>
  <si>
    <t xml:space="preserve">Le Clos saint michel </t>
  </si>
  <si>
    <t>La mandarine + domaine de l'astragale</t>
  </si>
  <si>
    <t>HOTEL MAISON PIGALLE</t>
  </si>
  <si>
    <t>CAPANNA SUITES</t>
  </si>
  <si>
    <t>BALTVILLA</t>
  </si>
  <si>
    <t>CARRIGALINE COURT HOTEL</t>
  </si>
  <si>
    <t>REAL HOTELS GROUP</t>
  </si>
  <si>
    <t>Les Terrasses d'Eze</t>
  </si>
  <si>
    <t>INTERNATIONAL HOTEL CASINO &amp; TOWER SUITES</t>
  </si>
  <si>
    <t>Camping Pascalounet</t>
  </si>
  <si>
    <t>Les Bulles de paris</t>
  </si>
  <si>
    <t>Le Moulin de la Wantzenau</t>
  </si>
  <si>
    <t>Hotel Juliana Cannes</t>
  </si>
  <si>
    <t>Hotel Westminster Nice</t>
  </si>
  <si>
    <t>Inara Camp</t>
  </si>
  <si>
    <t>Babel Lille</t>
  </si>
  <si>
    <t>Villa du Mouleau</t>
  </si>
  <si>
    <t>Hôtel Verbier</t>
  </si>
  <si>
    <t>Bel Hôtel Oléron - MGallery Collection</t>
  </si>
  <si>
    <t>Groupe WIZIU : Art déco, Couvent des Minimes &amp; Grand Hotel Bellevue</t>
  </si>
  <si>
    <t>Hôtel Silhouette</t>
  </si>
  <si>
    <t>Soleo Prado (Assas) - Pilote</t>
  </si>
  <si>
    <t>Pure Montagne Resort &amp; Spa</t>
  </si>
  <si>
    <t>Hôtel Macchi</t>
  </si>
  <si>
    <t xml:space="preserve">Hotel de Seine </t>
  </si>
  <si>
    <t>Hotel Dell'Opera</t>
  </si>
  <si>
    <t>Hana (Chapitre Six)</t>
  </si>
  <si>
    <t>Borneo Rainforest Lodge</t>
  </si>
  <si>
    <t>Baltic Beach</t>
  </si>
  <si>
    <t>UNIC group (X2)</t>
  </si>
  <si>
    <t>Carrigaline Court Hotel</t>
  </si>
  <si>
    <t xml:space="preserve">Bon Air Club </t>
  </si>
  <si>
    <t xml:space="preserve">Grand Hotel Clichy </t>
  </si>
  <si>
    <t>Résidence hôtelière Les Cayalines</t>
  </si>
  <si>
    <t>Santa Apolonia</t>
  </si>
  <si>
    <t>Dwor Kombornia</t>
  </si>
  <si>
    <t>Repère Sauvage</t>
  </si>
  <si>
    <t>Avalon Hotel &amp; Conferences</t>
  </si>
  <si>
    <t>Tier / Type</t>
  </si>
  <si>
    <t>Bronze Dmbook seul</t>
  </si>
  <si>
    <t>Silver (Individuel)</t>
  </si>
  <si>
    <t>Silver (Groupe)</t>
  </si>
  <si>
    <t xml:space="preserve">Gold (groupe) </t>
  </si>
  <si>
    <t>SUM of Points</t>
  </si>
  <si>
    <t>Date  - Month</t>
  </si>
  <si>
    <t>Grand Total</t>
  </si>
  <si>
    <t>Mar</t>
  </si>
  <si>
    <t>Apr</t>
  </si>
  <si>
    <t>May</t>
  </si>
  <si>
    <t>Jun</t>
  </si>
  <si>
    <t>Jul</t>
  </si>
  <si>
    <t xml:space="preserve">Répartition des comptes </t>
  </si>
  <si>
    <t xml:space="preserve">Nombre Bronze Dmbook seul </t>
  </si>
  <si>
    <t xml:space="preserve">Bronze </t>
  </si>
  <si>
    <t xml:space="preserve">Silver individuel </t>
  </si>
  <si>
    <t>Silver groupe</t>
  </si>
  <si>
    <t xml:space="preserve">Gold individuel </t>
  </si>
  <si>
    <t xml:space="preserve">Gold groupe </t>
  </si>
  <si>
    <t xml:space="preserve">Key 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</si>
</sst>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dd/mm/yy"/>
    <numFmt numFmtId="165" formatCode="dd/mm/yyyy"/>
    <numFmt numFmtId="166" formatCode="m/d/yyyy h:mm:ss"/>
  </numFmts>
  <fonts count="4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  <font>
      <color theme="1"/>
      <name val="Arial"/>
    </font>
  </fonts>
  <fills count="2">
    <fill>
      <patternFill patternType="none"/>
    </fill>
    <fill>
      <patternFill patternType="lightGray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20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164" xfId="0" applyAlignment="1" applyFont="1" applyNumberFormat="1">
      <alignment readingOrder="0"/>
    </xf>
    <xf borderId="0" fillId="0" fontId="1" numFmtId="0" xfId="0" applyFont="1"/>
    <xf borderId="0" fillId="0" fontId="2" numFmtId="0" xfId="0" applyAlignment="1" applyFont="1">
      <alignment readingOrder="0"/>
    </xf>
    <xf borderId="0" fillId="0" fontId="2" numFmtId="0" xfId="0" applyFont="1"/>
    <xf borderId="0" fillId="0" fontId="2" numFmtId="164" xfId="0" applyAlignment="1" applyFont="1" applyNumberFormat="1">
      <alignment readingOrder="0"/>
    </xf>
    <xf borderId="0" fillId="0" fontId="2" numFmtId="10" xfId="0" applyFont="1" applyNumberFormat="1"/>
    <xf borderId="0" fillId="0" fontId="2" numFmtId="165" xfId="0" applyAlignment="1" applyFont="1" applyNumberFormat="1">
      <alignment readingOrder="0"/>
    </xf>
    <xf borderId="0" fillId="0" fontId="2" numFmtId="0" xfId="0" applyAlignment="1" applyFont="1">
      <alignment readingOrder="0" shrinkToFit="0" wrapText="1"/>
    </xf>
    <xf borderId="0" fillId="0" fontId="3" numFmtId="0" xfId="0" applyAlignment="1" applyFont="1">
      <alignment vertical="bottom"/>
    </xf>
    <xf borderId="0" fillId="0" fontId="3" numFmtId="0" xfId="0" applyAlignment="1" applyFont="1">
      <alignment readingOrder="0" vertical="bottom"/>
    </xf>
    <xf borderId="0" fillId="0" fontId="3" numFmtId="0" xfId="0" applyAlignment="1" applyFont="1">
      <alignment horizontal="right" vertical="bottom"/>
    </xf>
    <xf borderId="0" fillId="0" fontId="3" numFmtId="0" xfId="0" applyAlignment="1" applyFont="1">
      <alignment horizontal="right" readingOrder="0" vertical="bottom"/>
    </xf>
    <xf borderId="0" fillId="0" fontId="2" numFmtId="166" xfId="0" applyFont="1" applyNumberFormat="1"/>
    <xf borderId="0" fillId="0" fontId="1" numFmtId="0" xfId="0" applyAlignment="1" applyFont="1">
      <alignment horizontal="center" readingOrder="0"/>
    </xf>
    <xf borderId="1" fillId="0" fontId="2" numFmtId="0" xfId="0" applyAlignment="1" applyBorder="1" applyFont="1">
      <alignment readingOrder="0" shrinkToFit="0" wrapText="1"/>
    </xf>
    <xf borderId="1" fillId="0" fontId="2" numFmtId="0" xfId="0" applyBorder="1" applyFont="1"/>
    <xf borderId="1" fillId="0" fontId="2" numFmtId="10" xfId="0" applyBorder="1" applyFont="1" applyNumberFormat="1"/>
    <xf borderId="1" fillId="0" fontId="2" numFmtId="0" xfId="0" applyAlignment="1" applyBorder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10" Type="http://schemas.openxmlformats.org/officeDocument/2006/relationships/pivotCacheDefinition" Target="pivotCache/pivotCacheDefinition1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pivotCache/_rels/pivotCacheDefinition1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A1:G502" sheet="Journal"/>
  </cacheSource>
  <cacheFields>
    <cacheField name="Date " numFmtId="164">
      <sharedItems containsNonDate="0" containsDate="1" containsString="0" containsBlank="1" minDate="2026-03-01T00:00:00Z" maxDate="2026-07-21T00:00:00Z">
        <d v="2026-03-01T00:00:00Z"/>
        <d v="2026-03-02T00:00:00Z"/>
        <d v="2026-03-03T00:00:00Z"/>
        <d v="2026-03-04T00:00:00Z"/>
        <d v="2026-03-09T00:00:00Z"/>
        <d v="2026-03-10T00:00:00Z"/>
        <d v="2026-03-12T00:00:00Z"/>
        <d v="2026-03-16T00:00:00Z"/>
        <d v="2026-03-19T00:00:00Z"/>
        <d v="2026-03-20T00:00:00Z"/>
        <d v="2026-03-23T00:00:00Z"/>
        <d v="2026-03-24T00:00:00Z"/>
        <d v="2026-03-27T00:00:00Z"/>
        <d v="2026-03-31T00:00:00Z"/>
        <d v="2026-04-01T00:00:00Z"/>
        <d v="2026-04-02T00:00:00Z"/>
        <d v="2026-04-03T00:00:00Z"/>
        <d v="2026-04-08T00:00:00Z"/>
        <d v="2026-04-09T00:00:00Z"/>
        <d v="2026-04-10T00:00:00Z"/>
        <d v="2026-04-15T00:00:00Z"/>
        <d v="2026-04-21T00:00:00Z"/>
        <d v="2026-04-22T00:00:00Z"/>
        <d v="2026-04-27T00:00:00Z"/>
        <d v="2026-05-06T00:00:00Z"/>
        <d v="2026-05-12T00:00:00Z"/>
        <d v="2026-05-18T00:00:00Z"/>
        <d v="2026-05-19T00:00:00Z"/>
        <d v="2026-05-21T00:00:00Z"/>
        <d v="2026-05-22T00:00:00Z"/>
        <d v="2026-05-26T00:00:00Z"/>
        <d v="2026-05-27T00:00:00Z"/>
        <d v="2026-05-29T00:00:00Z"/>
        <d v="2026-06-09T00:00:00Z"/>
        <d v="2026-06-10T00:00:00Z"/>
        <d v="2026-06-11T00:00:00Z"/>
        <d v="2026-06-15T00:00:00Z"/>
        <d v="2026-06-22T00:00:00Z"/>
        <d v="2026-06-24T00:00:00Z"/>
        <d v="2026-06-25T00:00:00Z"/>
        <d v="2026-06-26T00:00:00Z"/>
        <d v="2026-07-07T00:00:00Z"/>
        <d v="2026-07-09T00:00:00Z"/>
        <d v="2026-07-10T00:00:00Z"/>
        <d v="2026-07-17T00:00:00Z"/>
        <d v="2026-07-20T00:00:00Z"/>
        <m/>
      </sharedItems>
      <fieldGroup base="0">
        <rangePr autoStart="0" autoEnd="0" groupBy="months" startDate="2026-03-01T00:00:00Z" endDate="2026-07-21T00:00:00Z"/>
        <groupItems>
          <s v="&lt;03/01/26"/>
          <s v="Jan"/>
          <s v="Feb"/>
          <s v="Mar"/>
          <s v="Apr"/>
          <s v="May"/>
          <s v="Jun"/>
          <s v="Jul"/>
          <s v="Aug"/>
          <s v="Sep"/>
          <s v="Oct"/>
          <s v="Nov"/>
          <s v="Dec"/>
          <s v="&gt;07/21/26"/>
        </groupItems>
      </fieldGroup>
    </cacheField>
    <cacheField name="Hôtel" numFmtId="0">
      <sharedItems containsBlank="1">
        <s v="Fontenille "/>
        <s v="2L (nouveau site) "/>
        <s v="Hotel Ryzlink"/>
        <s v="LA FERME DE LA RANÇONNIÈRE"/>
        <s v="HOTEL BEAUVOIR"/>
        <s v="HOTEL NUAGE"/>
        <s v="HOTEL PARIS BASTILLE"/>
        <s v="HOTEL EXCELSIOR SAINT RAPHAEL"/>
        <s v="HOTEL KEPPLER"/>
        <s v="INTERCONTINENTAL CHANTILLY CHÂTEAU MONT ROYAL"/>
        <s v="Hotel Spa Beau Site Talloires "/>
        <s v="La réserve Albi"/>
        <s v="Royal Ambarrukmo Yogyakarta"/>
        <s v="HOTEL RESEDA"/>
        <s v="Experianciah "/>
        <s v="Hôtel les Brises"/>
        <s v="Albergo San Marco (SAN MARCO HOTELS)"/>
        <s v="Maison La Bohème Montmartre"/>
        <s v="Tikayan "/>
        <s v="Columbus Monte Carlo"/>
        <s v=" BW Le Relais du Vigneron"/>
        <s v="Hôtel Faubourg Galant Paris"/>
        <s v="Les Deux Girafes"/>
        <s v="Hôtel Lumen Paris"/>
        <s v="CAP D'ANTIBES "/>
        <s v="Auberge Adveniat"/>
        <s v="Hampton by Hilton Dublin City Centre"/>
        <s v="Groupe SGHL"/>
        <s v="Damantin "/>
        <s v="Konventa Seta"/>
        <s v="Bus Palladium"/>
        <s v="Vytautas mineral spa"/>
        <s v="Le Clos saint michel "/>
        <s v="La mandarine + domaine de l'astragale"/>
        <s v="HOTEL MAISON PIGALLE"/>
        <s v="CAPANNA SUITES"/>
        <s v="BALTVILLA"/>
        <s v="CARRIGALINE COURT HOTEL"/>
        <s v="REAL HOTELS GROUP"/>
        <s v="Les Terrasses d'Eze"/>
        <s v="INTERNATIONAL HOTEL CASINO &amp; TOWER SUITES"/>
        <s v="Camping Pascalounet"/>
        <s v="Les Bulles de paris"/>
        <s v="Le Moulin de la Wantzenau"/>
        <s v="Hotel Juliana Cannes"/>
        <s v="Hotel Westminster Nice"/>
        <s v="Inara Camp"/>
        <s v="Babel Lille"/>
        <s v="Villa du Mouleau"/>
        <s v="Hôtel Verbier"/>
        <s v="Bel Hôtel Oléron - MGallery Collection"/>
        <s v="Groupe WIZIU : Art déco, Couvent des Minimes &amp; Grand Hotel Bellevue"/>
        <s v="Hôtel Silhouette"/>
        <s v="Soleo Prado (Assas) - Pilote"/>
        <s v="Pure Montagne Resort &amp; Spa"/>
        <s v="Hôtel Macchi"/>
        <s v="Hotel de Seine "/>
        <s v="Hotel Dell'Opera"/>
        <s v="Hana (Chapitre Six)"/>
        <s v="Borneo Rainforest Lodge"/>
        <s v="Baltic Beach"/>
        <s v="UNIC group (X2)"/>
        <s v="Bon Air Club "/>
        <s v="Grand Hotel Clichy "/>
        <s v="Résidence hôtelière Les Cayalines"/>
        <s v="Santa Apolonia"/>
        <s v="Dwor Kombornia"/>
        <s v="Repère Sauvage"/>
        <s v="Avalon Hotel &amp; Conferences"/>
        <m/>
      </sharedItems>
    </cacheField>
    <cacheField name="Niveau" numFmtId="0">
      <sharedItems containsBlank="1">
        <s v="Gold"/>
        <s v="Bronze"/>
        <s v="Silver"/>
        <s v="Key"/>
        <m/>
      </sharedItems>
    </cacheField>
    <cacheField name="Type " numFmtId="0">
      <sharedItems containsBlank="1">
        <s v="Individuel"/>
        <s v="Groupe"/>
        <m/>
      </sharedItems>
    </cacheField>
    <cacheField name="Dmbook seul ? " numFmtId="0">
      <sharedItems containsBlank="1">
        <s v="No"/>
        <s v="Yes"/>
        <m/>
      </sharedItems>
    </cacheField>
    <cacheField name="Points" numFmtId="0">
      <sharedItems containsString="0" containsBlank="1" containsNumber="1" containsInteger="1">
        <n v="5.0"/>
        <n v="8.0"/>
        <n v="2.0"/>
        <n v="3.0"/>
        <n v="10.0"/>
        <n v="1.0"/>
        <n v="4.0"/>
        <m/>
      </sharedItems>
    </cacheField>
    <cacheField name="CSM" numFmtId="0">
      <sharedItems containsBlank="1">
        <s v="Deydra"/>
        <s v="Aika "/>
        <s v="Ghislaine "/>
        <s v="Tara"/>
        <s v="Laurane"/>
        <s v="Sherazade"/>
        <s v="Anne-Charlotte"/>
        <m/>
      </sharedItems>
    </cacheField>
  </cacheFields>
</pivotCacheDefinition>
</file>

<file path=xl/pivotTables/_rels/pivotTable1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Nombre de points CSM" cacheId="0" dataCaption="" compact="0" compactData="0">
  <location ref="A1:J9" firstHeaderRow="0" firstDataRow="1" firstDataCol="1"/>
  <pivotFields>
    <pivotField name="Date " axis="axisRow" compact="0" numFmtId="164" outline="0" multipleItemSelectionAllowed="1" showAll="0" sortType="ascending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name="Hôtel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t="default"/>
      </items>
    </pivotField>
    <pivotField name="Niveau" compact="0" outline="0" multipleItemSelectionAllowed="1" showAll="0">
      <items>
        <item x="0"/>
        <item x="1"/>
        <item x="2"/>
        <item x="3"/>
        <item x="4"/>
        <item t="default"/>
      </items>
    </pivotField>
    <pivotField name="Type " compact="0" outline="0" multipleItemSelectionAllowed="1" showAll="0">
      <items>
        <item x="0"/>
        <item x="1"/>
        <item x="2"/>
        <item t="default"/>
      </items>
    </pivotField>
    <pivotField name="Dmbook seul ? " compact="0" outline="0" multipleItemSelectionAllowed="1" showAll="0">
      <items>
        <item x="0"/>
        <item x="1"/>
        <item x="2"/>
        <item t="default"/>
      </items>
    </pivotField>
    <pivotField name="Points" dataField="1" compact="0" outline="0" multipleItemSelectionAllowed="1" showAll="0">
      <items>
        <item x="0"/>
        <item x="1"/>
        <item x="2"/>
        <item x="3"/>
        <item x="4"/>
        <item x="5"/>
        <item x="6"/>
        <item x="7"/>
        <item t="default"/>
      </items>
    </pivotField>
    <pivotField name="CSM" axis="axisCol" compact="0" outline="0" multipleItemSelectionAllowed="1" showAll="0" sortType="ascending">
      <items>
        <item x="7"/>
        <item x="1"/>
        <item x="6"/>
        <item x="0"/>
        <item x="2"/>
        <item x="4"/>
        <item x="5"/>
        <item x="3"/>
        <item t="default"/>
      </items>
    </pivotField>
  </pivotFields>
  <rowFields>
    <field x="0"/>
  </rowFields>
  <colFields>
    <field x="6"/>
  </colFields>
  <dataFields>
    <dataField name="SUM of Points" fld="5" baseField="0"/>
  </dataFields>
</pivotTableDefinition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1.xml"/><Relationship Id="rId2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2" max="2" width="22.0"/>
    <col customWidth="1" min="3" max="3" width="30.0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2">
        <f>today()</f>
        <v>46221</v>
      </c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>
      <c r="A2" s="4" t="s">
        <v>4</v>
      </c>
      <c r="B2" s="5">
        <f>SUMIFS(Journal!$F:$F, Journal!$G:$G, A2, Journal!$A:$A, "&gt;="&amp;EDATE($E$1, -1), Journal!$A:$A, "&lt;="&amp;$E$1)</f>
        <v>6</v>
      </c>
      <c r="C2" s="4">
        <v>15.0</v>
      </c>
      <c r="D2" s="5" t="str">
        <f t="shared" ref="D2:D8" si="1">IF(B2&gt;=C2, "🔴 STOP", IF(B2&gt;=C2*0.8, "🟠 LIMITE", "🟢 OK"))</f>
        <v>🟢 OK</v>
      </c>
    </row>
    <row r="3">
      <c r="A3" s="4" t="s">
        <v>5</v>
      </c>
      <c r="B3" s="5">
        <f>SUMIFS(Journal!$F:$F, Journal!$G:$G, A3, Journal!$A:$A, "&gt;="&amp;EDATE($E$1, -1), Journal!$A:$A, "&lt;="&amp;$E$1)</f>
        <v>15</v>
      </c>
      <c r="C3" s="4">
        <v>15.0</v>
      </c>
      <c r="D3" s="5" t="str">
        <f t="shared" si="1"/>
        <v>🔴 STOP</v>
      </c>
    </row>
    <row r="4">
      <c r="A4" s="4" t="s">
        <v>6</v>
      </c>
      <c r="B4" s="5">
        <f>SUMIFS(Journal!$F:$F, Journal!$G:$G, A4, Journal!$A:$A, "&gt;="&amp;EDATE($E$1, -1), Journal!$A:$A, "&lt;="&amp;$E$1)</f>
        <v>3</v>
      </c>
      <c r="C4" s="4">
        <v>15.0</v>
      </c>
      <c r="D4" s="5" t="str">
        <f t="shared" si="1"/>
        <v>🟢 OK</v>
      </c>
    </row>
    <row r="5">
      <c r="A5" s="4" t="s">
        <v>7</v>
      </c>
      <c r="B5" s="5">
        <f>SUMIFS(Journal!$F:$F, Journal!$G:$G, A5, Journal!$A:$A, "&gt;="&amp;EDATE($E$1, -1), Journal!$A:$A, "&lt;="&amp;$E$1)</f>
        <v>3</v>
      </c>
      <c r="C5" s="4">
        <v>15.0</v>
      </c>
      <c r="D5" s="5" t="str">
        <f t="shared" si="1"/>
        <v>🟢 OK</v>
      </c>
    </row>
    <row r="6">
      <c r="A6" s="4" t="s">
        <v>8</v>
      </c>
      <c r="B6" s="5">
        <f>SUMIFS(Journal!$F:$F, Journal!$G:$G, A6, Journal!$A:$A, "&gt;="&amp;EDATE($E$1, -1), Journal!$A:$A, "&lt;="&amp;$E$1)</f>
        <v>7</v>
      </c>
      <c r="C6" s="4">
        <v>15.0</v>
      </c>
      <c r="D6" s="5" t="str">
        <f t="shared" si="1"/>
        <v>🟢 OK</v>
      </c>
    </row>
    <row r="7">
      <c r="A7" s="4" t="s">
        <v>9</v>
      </c>
      <c r="B7" s="5">
        <f>SUMIFS(Journal!$F:$F, Journal!$G:$G, A7, Journal!$A:$A, "&gt;="&amp;EDATE($E$1, -1), Journal!$A:$A, "&lt;="&amp;$E$1)</f>
        <v>0</v>
      </c>
      <c r="C7" s="4">
        <v>0.0</v>
      </c>
      <c r="D7" s="5" t="str">
        <f t="shared" si="1"/>
        <v>🔴 STOP</v>
      </c>
    </row>
    <row r="8">
      <c r="A8" s="4" t="s">
        <v>10</v>
      </c>
      <c r="B8" s="5">
        <f>SUMIFS(Journal!$F:$F, Journal!$G:$G, A8, Journal!$A:$A, "&gt;="&amp;EDATE($E$1, -1), Journal!$A:$A, "&lt;="&amp;$E$1)</f>
        <v>4</v>
      </c>
      <c r="C8" s="4">
        <v>15.0</v>
      </c>
      <c r="D8" s="5" t="str">
        <f t="shared" si="1"/>
        <v>🟢 OK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5.5"/>
    <col customWidth="1" min="2" max="2" width="35.38"/>
    <col customWidth="1" min="3" max="3" width="15.5"/>
    <col customWidth="1" min="10" max="10" width="17.25"/>
    <col customWidth="1" min="11" max="11" width="21.75"/>
  </cols>
  <sheetData>
    <row r="1">
      <c r="A1" s="4" t="s">
        <v>11</v>
      </c>
      <c r="B1" s="4" t="s">
        <v>12</v>
      </c>
      <c r="C1" s="4" t="s">
        <v>13</v>
      </c>
      <c r="D1" s="4" t="s">
        <v>14</v>
      </c>
      <c r="E1" s="4" t="s">
        <v>15</v>
      </c>
      <c r="F1" s="4" t="s">
        <v>16</v>
      </c>
      <c r="G1" s="4" t="s">
        <v>17</v>
      </c>
    </row>
    <row r="2">
      <c r="A2" s="6">
        <v>46082.0</v>
      </c>
      <c r="B2" s="4" t="s">
        <v>18</v>
      </c>
      <c r="C2" s="4" t="s">
        <v>19</v>
      </c>
      <c r="D2" s="4" t="s">
        <v>20</v>
      </c>
      <c r="E2" s="4" t="s">
        <v>21</v>
      </c>
      <c r="F2" s="5">
        <f>IF(C2="Key", 'Paramètre'!$B$8, IF(C2="Gold", IF(D2="Groupe", 'Paramètre'!$B$7, 'Paramètre'!$B$6), IF(C2="Silver", IF(D2="Groupe", 'Paramètre'!$B$5, 'Paramètre'!$B$4), IF(C2="Bronze", IF(TRIM(E2)="Yes", 'Paramètre'!$B$2, 'Paramètre'!$B$3), 0))))</f>
        <v>5</v>
      </c>
      <c r="G2" s="4" t="s">
        <v>6</v>
      </c>
    </row>
    <row r="3">
      <c r="A3" s="6">
        <v>46082.0</v>
      </c>
      <c r="B3" s="4" t="s">
        <v>22</v>
      </c>
      <c r="C3" s="4" t="s">
        <v>19</v>
      </c>
      <c r="D3" s="4" t="s">
        <v>23</v>
      </c>
      <c r="E3" s="4" t="s">
        <v>21</v>
      </c>
      <c r="F3" s="5">
        <f>IF(C3="Key", 'Paramètre'!$B$8, IF(C3="Gold", IF(D3="Groupe", 'Paramètre'!$B$7, 'Paramètre'!$B$6), IF(C3="Silver", IF(D3="Groupe", 'Paramètre'!$B$5, 'Paramètre'!$B$4), IF(C3="Bronze", IF(TRIM(E3)="Yes", 'Paramètre'!$B$2, 'Paramètre'!$B$3), 0))))</f>
        <v>8</v>
      </c>
      <c r="G3" s="4" t="s">
        <v>6</v>
      </c>
    </row>
    <row r="4">
      <c r="A4" s="6">
        <v>46083.0</v>
      </c>
      <c r="B4" s="4" t="s">
        <v>24</v>
      </c>
      <c r="C4" s="4" t="s">
        <v>25</v>
      </c>
      <c r="D4" s="4" t="s">
        <v>20</v>
      </c>
      <c r="E4" s="4" t="s">
        <v>21</v>
      </c>
      <c r="F4" s="5">
        <f>IF(C4="Key", 'Paramètre'!$B$8, IF(C4="Gold", IF(D4="Groupe", 'Paramètre'!$B$7, 'Paramètre'!$B$6), IF(C4="Silver", IF(D4="Groupe", 'Paramètre'!$B$5, 'Paramètre'!$B$4), IF(C4="Bronze", IF(TRIM(E4)="Yes", 'Paramètre'!$B$2, 'Paramètre'!$B$3), 0))))</f>
        <v>2</v>
      </c>
      <c r="G4" s="4" t="s">
        <v>9</v>
      </c>
      <c r="J4" s="4"/>
      <c r="L4" s="7"/>
    </row>
    <row r="5">
      <c r="A5" s="6">
        <v>46083.0</v>
      </c>
      <c r="B5" s="4" t="s">
        <v>26</v>
      </c>
      <c r="C5" s="4" t="s">
        <v>27</v>
      </c>
      <c r="D5" s="4" t="s">
        <v>20</v>
      </c>
      <c r="E5" s="4" t="s">
        <v>21</v>
      </c>
      <c r="F5" s="5">
        <f>IF(C5="Key", 'Paramètre'!$B$8, IF(C5="Gold", IF(D5="Groupe", 'Paramètre'!$B$7, 'Paramètre'!$B$6), IF(C5="Silver", IF(D5="Groupe", 'Paramètre'!$B$5, 'Paramètre'!$B$4), IF(C5="Bronze", IF(TRIM(E5)="Yes", 'Paramètre'!$B$2, 'Paramètre'!$B$3), 0))))</f>
        <v>3</v>
      </c>
      <c r="G5" s="4" t="s">
        <v>10</v>
      </c>
    </row>
    <row r="6">
      <c r="A6" s="6">
        <v>46083.0</v>
      </c>
      <c r="B6" s="4" t="s">
        <v>28</v>
      </c>
      <c r="C6" s="4" t="s">
        <v>25</v>
      </c>
      <c r="D6" s="4" t="s">
        <v>20</v>
      </c>
      <c r="E6" s="4" t="s">
        <v>21</v>
      </c>
      <c r="F6" s="5">
        <f>IF(C6="Key", 'Paramètre'!$B$8, IF(C6="Gold", IF(D6="Groupe", 'Paramètre'!$B$7, 'Paramètre'!$B$6), IF(C6="Silver", IF(D6="Groupe", 'Paramètre'!$B$5, 'Paramètre'!$B$4), IF(C6="Bronze", IF(TRIM(E6)="Yes", 'Paramètre'!$B$2, 'Paramètre'!$B$3), 0))))</f>
        <v>2</v>
      </c>
      <c r="G6" s="4" t="s">
        <v>8</v>
      </c>
    </row>
    <row r="7">
      <c r="A7" s="6">
        <v>46084.0</v>
      </c>
      <c r="B7" s="4" t="s">
        <v>29</v>
      </c>
      <c r="C7" s="4" t="s">
        <v>25</v>
      </c>
      <c r="D7" s="4" t="s">
        <v>20</v>
      </c>
      <c r="E7" s="4" t="s">
        <v>21</v>
      </c>
      <c r="F7" s="5">
        <f>IF(C7="Key", 'Paramètre'!$B$8, IF(C7="Gold", IF(D7="Groupe", 'Paramètre'!$B$7, 'Paramètre'!$B$6), IF(C7="Silver", IF(D7="Groupe", 'Paramètre'!$B$5, 'Paramètre'!$B$4), IF(C7="Bronze", IF(TRIM(E7)="Yes", 'Paramètre'!$B$2, 'Paramètre'!$B$3), 0))))</f>
        <v>2</v>
      </c>
      <c r="G7" s="4" t="s">
        <v>5</v>
      </c>
    </row>
    <row r="8">
      <c r="A8" s="6">
        <v>46084.0</v>
      </c>
      <c r="B8" s="4" t="s">
        <v>30</v>
      </c>
      <c r="C8" s="4" t="s">
        <v>27</v>
      </c>
      <c r="D8" s="4" t="s">
        <v>20</v>
      </c>
      <c r="E8" s="4" t="s">
        <v>21</v>
      </c>
      <c r="F8" s="5">
        <f>IF(C8="Key", 'Paramètre'!$B$8, IF(C8="Gold", IF(D8="Groupe", 'Paramètre'!$B$7, 'Paramètre'!$B$6), IF(C8="Silver", IF(D8="Groupe", 'Paramètre'!$B$5, 'Paramètre'!$B$4), IF(C8="Bronze", IF(TRIM(E8)="Yes", 'Paramètre'!$B$2, 'Paramètre'!$B$3), 0))))</f>
        <v>3</v>
      </c>
      <c r="G8" s="4" t="s">
        <v>5</v>
      </c>
    </row>
    <row r="9">
      <c r="A9" s="6">
        <v>46085.0</v>
      </c>
      <c r="B9" s="4" t="s">
        <v>31</v>
      </c>
      <c r="C9" s="4" t="s">
        <v>27</v>
      </c>
      <c r="D9" s="4" t="s">
        <v>20</v>
      </c>
      <c r="E9" s="4" t="s">
        <v>21</v>
      </c>
      <c r="F9" s="5">
        <f>IF(C9="Key", 'Paramètre'!$B$8, IF(C9="Gold", IF(D9="Groupe", 'Paramètre'!$B$7, 'Paramètre'!$B$6), IF(C9="Silver", IF(D9="Groupe", 'Paramètre'!$B$5, 'Paramètre'!$B$4), IF(C9="Bronze", IF(TRIM(E9)="Yes", 'Paramètre'!$B$2, 'Paramètre'!$B$3), 0))))</f>
        <v>3</v>
      </c>
      <c r="G9" s="4" t="s">
        <v>8</v>
      </c>
    </row>
    <row r="10">
      <c r="A10" s="6">
        <v>46090.0</v>
      </c>
      <c r="B10" s="4" t="s">
        <v>32</v>
      </c>
      <c r="C10" s="4" t="s">
        <v>27</v>
      </c>
      <c r="D10" s="4" t="s">
        <v>20</v>
      </c>
      <c r="E10" s="4" t="s">
        <v>21</v>
      </c>
      <c r="F10" s="5">
        <f>IF(C10="Key", 'Paramètre'!$B$8, IF(C10="Gold", IF(D10="Groupe", 'Paramètre'!$B$7, 'Paramètre'!$B$6), IF(C10="Silver", IF(D10="Groupe", 'Paramètre'!$B$5, 'Paramètre'!$B$4), IF(C10="Bronze", IF(TRIM(E10)="Yes", 'Paramètre'!$B$2, 'Paramètre'!$B$3), 0))))</f>
        <v>3</v>
      </c>
      <c r="G10" s="4" t="s">
        <v>10</v>
      </c>
    </row>
    <row r="11">
      <c r="A11" s="6">
        <v>46090.0</v>
      </c>
      <c r="B11" s="4" t="s">
        <v>33</v>
      </c>
      <c r="C11" s="4" t="s">
        <v>25</v>
      </c>
      <c r="D11" s="4" t="s">
        <v>20</v>
      </c>
      <c r="E11" s="4" t="s">
        <v>21</v>
      </c>
      <c r="F11" s="5">
        <f>IF(C11="Key", 'Paramètre'!$B$8, IF(C11="Gold", IF(D11="Groupe", 'Paramètre'!$B$7, 'Paramètre'!$B$6), IF(C11="Silver", IF(D11="Groupe", 'Paramètre'!$B$5, 'Paramètre'!$B$4), IF(C11="Bronze", IF(TRIM(E11)="Yes", 'Paramètre'!$B$2, 'Paramètre'!$B$3), 0))))</f>
        <v>2</v>
      </c>
      <c r="G11" s="4" t="s">
        <v>9</v>
      </c>
    </row>
    <row r="12">
      <c r="A12" s="6">
        <v>46091.0</v>
      </c>
      <c r="B12" s="4" t="s">
        <v>34</v>
      </c>
      <c r="C12" s="4" t="s">
        <v>27</v>
      </c>
      <c r="D12" s="4" t="s">
        <v>20</v>
      </c>
      <c r="E12" s="4" t="s">
        <v>21</v>
      </c>
      <c r="F12" s="5">
        <f>IF(C12="Key", 'Paramètre'!$B$8, IF(C12="Gold", IF(D12="Groupe", 'Paramètre'!$B$7, 'Paramètre'!$B$6), IF(C12="Silver", IF(D12="Groupe", 'Paramètre'!$B$5, 'Paramètre'!$B$4), IF(C12="Bronze", IF(TRIM(E12)="Yes", 'Paramètre'!$B$2, 'Paramètre'!$B$3), 0))))</f>
        <v>3</v>
      </c>
      <c r="G12" s="4" t="s">
        <v>10</v>
      </c>
    </row>
    <row r="13">
      <c r="A13" s="6">
        <v>46091.0</v>
      </c>
      <c r="B13" s="4" t="s">
        <v>35</v>
      </c>
      <c r="C13" s="4" t="s">
        <v>25</v>
      </c>
      <c r="D13" s="4" t="s">
        <v>20</v>
      </c>
      <c r="E13" s="4" t="s">
        <v>21</v>
      </c>
      <c r="F13" s="5">
        <f>IF(C13="Key", 'Paramètre'!$B$8, IF(C13="Gold", IF(D13="Groupe", 'Paramètre'!$B$7, 'Paramètre'!$B$6), IF(C13="Silver", IF(D13="Groupe", 'Paramètre'!$B$5, 'Paramètre'!$B$4), IF(C13="Bronze", IF(TRIM(E13)="Yes", 'Paramètre'!$B$2, 'Paramètre'!$B$3), 0))))</f>
        <v>2</v>
      </c>
      <c r="G13" s="4" t="s">
        <v>9</v>
      </c>
    </row>
    <row r="14">
      <c r="A14" s="6">
        <v>46093.0</v>
      </c>
      <c r="B14" s="4" t="s">
        <v>36</v>
      </c>
      <c r="C14" s="4" t="s">
        <v>27</v>
      </c>
      <c r="D14" s="4" t="s">
        <v>20</v>
      </c>
      <c r="E14" s="4" t="s">
        <v>21</v>
      </c>
      <c r="F14" s="5">
        <f>IF(C14="Key", 'Paramètre'!$B$8, IF(C14="Gold", IF(D14="Groupe", 'Paramètre'!$B$7, 'Paramètre'!$B$6), IF(C14="Silver", IF(D14="Groupe", 'Paramètre'!$B$5, 'Paramètre'!$B$4), IF(C14="Bronze", IF(TRIM(E14)="Yes", 'Paramètre'!$B$2, 'Paramètre'!$B$3), 0))))</f>
        <v>3</v>
      </c>
      <c r="G14" s="4" t="s">
        <v>9</v>
      </c>
    </row>
    <row r="15">
      <c r="A15" s="6">
        <v>46097.0</v>
      </c>
      <c r="B15" s="4" t="s">
        <v>37</v>
      </c>
      <c r="C15" s="4" t="s">
        <v>27</v>
      </c>
      <c r="D15" s="4" t="s">
        <v>20</v>
      </c>
      <c r="E15" s="4" t="s">
        <v>21</v>
      </c>
      <c r="F15" s="5">
        <f>IF(C15="Key", 'Paramètre'!$B$8, IF(C15="Gold", IF(D15="Groupe", 'Paramètre'!$B$7, 'Paramètre'!$B$6), IF(C15="Silver", IF(D15="Groupe", 'Paramètre'!$B$5, 'Paramètre'!$B$4), IF(C15="Bronze", IF(TRIM(E15)="Yes", 'Paramètre'!$B$2, 'Paramètre'!$B$3), 0))))</f>
        <v>3</v>
      </c>
      <c r="G15" s="4" t="s">
        <v>5</v>
      </c>
    </row>
    <row r="16">
      <c r="A16" s="6">
        <v>46100.0</v>
      </c>
      <c r="B16" s="4" t="s">
        <v>38</v>
      </c>
      <c r="C16" s="4" t="s">
        <v>39</v>
      </c>
      <c r="D16" s="4" t="s">
        <v>23</v>
      </c>
      <c r="E16" s="4" t="s">
        <v>21</v>
      </c>
      <c r="F16" s="5">
        <f>IF(C16="Key", 'Paramètre'!$B$8, IF(C16="Gold", IF(D16="Groupe", 'Paramètre'!$B$7, 'Paramètre'!$B$6), IF(C16="Silver", IF(D16="Groupe", 'Paramètre'!$B$5, 'Paramètre'!$B$4), IF(C16="Bronze", IF(TRIM(E16)="Yes", 'Paramètre'!$B$2, 'Paramètre'!$B$3), 0))))</f>
        <v>10</v>
      </c>
      <c r="G16" s="4" t="s">
        <v>10</v>
      </c>
    </row>
    <row r="17">
      <c r="A17" s="6">
        <v>46101.0</v>
      </c>
      <c r="B17" s="4" t="s">
        <v>40</v>
      </c>
      <c r="C17" s="4" t="s">
        <v>27</v>
      </c>
      <c r="D17" s="4" t="s">
        <v>20</v>
      </c>
      <c r="E17" s="4" t="s">
        <v>21</v>
      </c>
      <c r="F17" s="5">
        <f>IF(C17="Key", 'Paramètre'!$B$8, IF(C17="Gold", IF(D17="Groupe", 'Paramètre'!$B$7, 'Paramètre'!$B$6), IF(C17="Silver", IF(D17="Groupe", 'Paramètre'!$B$5, 'Paramètre'!$B$4), IF(C17="Bronze", IF(TRIM(E17)="Yes", 'Paramètre'!$B$2, 'Paramètre'!$B$3), 0))))</f>
        <v>3</v>
      </c>
      <c r="G17" s="4" t="s">
        <v>8</v>
      </c>
      <c r="J17" s="4"/>
      <c r="L17" s="7"/>
    </row>
    <row r="18">
      <c r="A18" s="6">
        <v>46104.0</v>
      </c>
      <c r="B18" s="4" t="s">
        <v>41</v>
      </c>
      <c r="C18" s="4" t="s">
        <v>25</v>
      </c>
      <c r="D18" s="4" t="s">
        <v>20</v>
      </c>
      <c r="E18" s="4" t="s">
        <v>21</v>
      </c>
      <c r="F18" s="5">
        <f>IF(C18="Key", 'Paramètre'!$B$8, IF(C18="Gold", IF(D18="Groupe", 'Paramètre'!$B$7, 'Paramètre'!$B$6), IF(C18="Silver", IF(D18="Groupe", 'Paramètre'!$B$5, 'Paramètre'!$B$4), IF(C18="Bronze", IF(TRIM(E18)="Yes", 'Paramètre'!$B$2, 'Paramètre'!$B$3), 0))))</f>
        <v>2</v>
      </c>
      <c r="G18" s="4" t="s">
        <v>9</v>
      </c>
      <c r="J18" s="4"/>
      <c r="L18" s="7"/>
    </row>
    <row r="19">
      <c r="A19" s="6">
        <v>46104.0</v>
      </c>
      <c r="B19" s="4" t="s">
        <v>42</v>
      </c>
      <c r="C19" s="4" t="s">
        <v>25</v>
      </c>
      <c r="D19" s="4" t="s">
        <v>20</v>
      </c>
      <c r="E19" s="4" t="s">
        <v>21</v>
      </c>
      <c r="F19" s="5">
        <f>IF(C19="Key", 'Paramètre'!$B$8, IF(C19="Gold", IF(D19="Groupe", 'Paramètre'!$B$7, 'Paramètre'!$B$6), IF(C19="Silver", IF(D19="Groupe", 'Paramètre'!$B$5, 'Paramètre'!$B$4), IF(C19="Bronze", IF(TRIM(E19)="Yes", 'Paramètre'!$B$2, 'Paramètre'!$B$3), 0))))</f>
        <v>2</v>
      </c>
      <c r="G19" s="4" t="s">
        <v>9</v>
      </c>
    </row>
    <row r="20">
      <c r="A20" s="6">
        <v>46104.0</v>
      </c>
      <c r="B20" s="4" t="s">
        <v>43</v>
      </c>
      <c r="C20" s="4" t="s">
        <v>39</v>
      </c>
      <c r="D20" s="4" t="s">
        <v>23</v>
      </c>
      <c r="E20" s="4" t="s">
        <v>21</v>
      </c>
      <c r="F20" s="5">
        <f>IF(C20="Key", 'Paramètre'!$B$8, IF(C20="Gold", IF(D20="Groupe", 'Paramètre'!$B$7, 'Paramètre'!$B$6), IF(C20="Silver", IF(D20="Groupe", 'Paramètre'!$B$5, 'Paramètre'!$B$4), IF(C20="Bronze", IF(TRIM(E20)="Yes", 'Paramètre'!$B$2, 'Paramètre'!$B$3), 0))))</f>
        <v>10</v>
      </c>
      <c r="G20" s="4" t="s">
        <v>10</v>
      </c>
    </row>
    <row r="21">
      <c r="A21" s="6">
        <v>46105.0</v>
      </c>
      <c r="B21" s="4" t="s">
        <v>44</v>
      </c>
      <c r="C21" s="4" t="s">
        <v>25</v>
      </c>
      <c r="D21" s="4" t="s">
        <v>20</v>
      </c>
      <c r="E21" s="4" t="s">
        <v>45</v>
      </c>
      <c r="F21" s="5">
        <f>IF(C21="Key", 'Paramètre'!$B$8, IF(C21="Gold", IF(D21="Groupe", 'Paramètre'!$B$7, 'Paramètre'!$B$6), IF(C21="Silver", IF(D21="Groupe", 'Paramètre'!$B$5, 'Paramètre'!$B$4), IF(C21="Bronze", IF(TRIM(E21)="Yes", 'Paramètre'!$B$2, 'Paramètre'!$B$3), 0))))</f>
        <v>1</v>
      </c>
      <c r="G21" s="4" t="s">
        <v>8</v>
      </c>
    </row>
    <row r="22">
      <c r="A22" s="6">
        <v>46108.0</v>
      </c>
      <c r="B22" s="4" t="s">
        <v>46</v>
      </c>
      <c r="C22" s="4" t="s">
        <v>25</v>
      </c>
      <c r="D22" s="4" t="s">
        <v>20</v>
      </c>
      <c r="E22" s="4" t="s">
        <v>45</v>
      </c>
      <c r="F22" s="5">
        <f>IF(C22="Key", 'Paramètre'!$B$8, IF(C22="Gold", IF(D22="Groupe", 'Paramètre'!$B$7, 'Paramètre'!$B$6), IF(C22="Silver", IF(D22="Groupe", 'Paramètre'!$B$5, 'Paramètre'!$B$4), IF(C22="Bronze", IF(TRIM(E22)="Yes", 'Paramètre'!$B$2, 'Paramètre'!$B$3), 0))))</f>
        <v>1</v>
      </c>
      <c r="G22" s="4" t="s">
        <v>8</v>
      </c>
    </row>
    <row r="23">
      <c r="A23" s="6">
        <v>46108.0</v>
      </c>
      <c r="B23" s="4" t="s">
        <v>47</v>
      </c>
      <c r="C23" s="4" t="s">
        <v>25</v>
      </c>
      <c r="D23" s="4" t="s">
        <v>20</v>
      </c>
      <c r="E23" s="4" t="s">
        <v>45</v>
      </c>
      <c r="F23" s="5">
        <f>IF(C23="Key", 'Paramètre'!$B$8, IF(C23="Gold", IF(D23="Groupe", 'Paramètre'!$B$7, 'Paramètre'!$B$6), IF(C23="Silver", IF(D23="Groupe", 'Paramètre'!$B$5, 'Paramètre'!$B$4), IF(C23="Bronze", IF(TRIM(E23)="Yes", 'Paramètre'!$B$2, 'Paramètre'!$B$3), 0))))</f>
        <v>1</v>
      </c>
      <c r="G23" s="4" t="s">
        <v>5</v>
      </c>
    </row>
    <row r="24">
      <c r="A24" s="6">
        <v>46108.0</v>
      </c>
      <c r="B24" s="4" t="s">
        <v>48</v>
      </c>
      <c r="C24" s="4" t="s">
        <v>25</v>
      </c>
      <c r="D24" s="4" t="s">
        <v>20</v>
      </c>
      <c r="E24" s="4" t="s">
        <v>45</v>
      </c>
      <c r="F24" s="5">
        <f>IF(C24="Key", 'Paramètre'!$B$8, IF(C24="Gold", IF(D24="Groupe", 'Paramètre'!$B$7, 'Paramètre'!$B$6), IF(C24="Silver", IF(D24="Groupe", 'Paramètre'!$B$5, 'Paramètre'!$B$4), IF(C24="Bronze", IF(TRIM(E24)="Yes", 'Paramètre'!$B$2, 'Paramètre'!$B$3), 0))))</f>
        <v>1</v>
      </c>
      <c r="G24" s="4" t="s">
        <v>9</v>
      </c>
    </row>
    <row r="25">
      <c r="A25" s="6">
        <v>46112.0</v>
      </c>
      <c r="B25" s="4" t="s">
        <v>49</v>
      </c>
      <c r="C25" s="4" t="s">
        <v>27</v>
      </c>
      <c r="D25" s="4" t="s">
        <v>23</v>
      </c>
      <c r="E25" s="4" t="s">
        <v>21</v>
      </c>
      <c r="F25" s="5">
        <f>IF(C25="Key", 'Paramètre'!$B$8, IF(C25="Gold", IF(D25="Groupe", 'Paramètre'!$B$7, 'Paramètre'!$B$6), IF(C25="Silver", IF(D25="Groupe", 'Paramètre'!$B$5, 'Paramètre'!$B$4), IF(C25="Bronze", IF(TRIM(E25)="Yes", 'Paramètre'!$B$2, 'Paramètre'!$B$3), 0))))</f>
        <v>4</v>
      </c>
      <c r="G25" s="4" t="s">
        <v>9</v>
      </c>
      <c r="J25" s="4"/>
      <c r="L25" s="7"/>
    </row>
    <row r="26">
      <c r="A26" s="6">
        <v>46113.0</v>
      </c>
      <c r="B26" s="4" t="s">
        <v>50</v>
      </c>
      <c r="C26" s="4" t="s">
        <v>25</v>
      </c>
      <c r="D26" s="4" t="s">
        <v>20</v>
      </c>
      <c r="E26" s="4" t="s">
        <v>45</v>
      </c>
      <c r="F26" s="5">
        <f>IF(C26="Key", 'Paramètre'!$B$8, IF(C26="Gold", IF(D26="Groupe", 'Paramètre'!$B$7, 'Paramètre'!$B$6), IF(C26="Silver", IF(D26="Groupe", 'Paramètre'!$B$5, 'Paramètre'!$B$4), IF(C26="Bronze", IF(TRIM(E26)="Yes", 'Paramètre'!$B$2, 'Paramètre'!$B$3), 0))))</f>
        <v>1</v>
      </c>
      <c r="G26" s="4" t="s">
        <v>5</v>
      </c>
    </row>
    <row r="27">
      <c r="A27" s="6">
        <v>46113.0</v>
      </c>
      <c r="B27" s="4" t="s">
        <v>51</v>
      </c>
      <c r="C27" s="4" t="s">
        <v>25</v>
      </c>
      <c r="D27" s="4" t="s">
        <v>20</v>
      </c>
      <c r="E27" s="4" t="s">
        <v>45</v>
      </c>
      <c r="F27" s="5">
        <f>IF(C27="Key", 'Paramètre'!$B$8, IF(C27="Gold", IF(D27="Groupe", 'Paramètre'!$B$7, 'Paramètre'!$B$6), IF(C27="Silver", IF(D27="Groupe", 'Paramètre'!$B$5, 'Paramètre'!$B$4), IF(C27="Bronze", IF(TRIM(E27)="Yes", 'Paramètre'!$B$2, 'Paramètre'!$B$3), 0))))</f>
        <v>1</v>
      </c>
      <c r="G27" s="4" t="s">
        <v>8</v>
      </c>
    </row>
    <row r="28">
      <c r="A28" s="6">
        <v>46114.0</v>
      </c>
      <c r="B28" s="4" t="s">
        <v>52</v>
      </c>
      <c r="C28" s="4" t="s">
        <v>25</v>
      </c>
      <c r="D28" s="4" t="s">
        <v>20</v>
      </c>
      <c r="E28" s="4" t="s">
        <v>21</v>
      </c>
      <c r="F28" s="5">
        <f>IF(C28="Key", 'Paramètre'!$B$8, IF(C28="Gold", IF(D28="Groupe", 'Paramètre'!$B$7, 'Paramètre'!$B$6), IF(C28="Silver", IF(D28="Groupe", 'Paramètre'!$B$5, 'Paramètre'!$B$4), IF(C28="Bronze", IF(TRIM(E28)="Yes", 'Paramètre'!$B$2, 'Paramètre'!$B$3), 0))))</f>
        <v>2</v>
      </c>
      <c r="G28" s="4" t="s">
        <v>8</v>
      </c>
      <c r="J28" s="4"/>
      <c r="L28" s="7"/>
    </row>
    <row r="29">
      <c r="A29" s="6">
        <v>46115.0</v>
      </c>
      <c r="B29" s="4" t="s">
        <v>53</v>
      </c>
      <c r="C29" s="4" t="s">
        <v>27</v>
      </c>
      <c r="D29" s="4" t="s">
        <v>23</v>
      </c>
      <c r="E29" s="4" t="s">
        <v>21</v>
      </c>
      <c r="F29" s="5">
        <f>IF(C29="Key", 'Paramètre'!$B$8, IF(C29="Gold", IF(D29="Groupe", 'Paramètre'!$B$7, 'Paramètre'!$B$6), IF(C29="Silver", IF(D29="Groupe", 'Paramètre'!$B$5, 'Paramètre'!$B$4), IF(C29="Bronze", IF(TRIM(E29)="Yes", 'Paramètre'!$B$2, 'Paramètre'!$B$3), 0))))</f>
        <v>4</v>
      </c>
      <c r="G29" s="4" t="s">
        <v>8</v>
      </c>
      <c r="J29" s="8"/>
    </row>
    <row r="30">
      <c r="A30" s="6">
        <v>46120.0</v>
      </c>
      <c r="B30" s="4" t="s">
        <v>54</v>
      </c>
      <c r="C30" s="4" t="s">
        <v>27</v>
      </c>
      <c r="D30" s="4" t="s">
        <v>20</v>
      </c>
      <c r="E30" s="4" t="s">
        <v>21</v>
      </c>
      <c r="F30" s="5">
        <f>IF(C30="Key", 'Paramètre'!$B$8, IF(C30="Gold", IF(D30="Groupe", 'Paramètre'!$B$7, 'Paramètre'!$B$6), IF(C30="Silver", IF(D30="Groupe", 'Paramètre'!$B$5, 'Paramètre'!$B$4), IF(C30="Bronze", IF(TRIM(E30)="Yes", 'Paramètre'!$B$2, 'Paramètre'!$B$3), 0))))</f>
        <v>3</v>
      </c>
      <c r="G30" s="4" t="s">
        <v>9</v>
      </c>
    </row>
    <row r="31">
      <c r="A31" s="6">
        <v>46121.0</v>
      </c>
      <c r="B31" s="4" t="s">
        <v>55</v>
      </c>
      <c r="C31" s="4" t="s">
        <v>19</v>
      </c>
      <c r="D31" s="4" t="s">
        <v>20</v>
      </c>
      <c r="E31" s="4" t="s">
        <v>21</v>
      </c>
      <c r="F31" s="5">
        <f>IF(C31="Key", 'Paramètre'!$B$8, IF(C31="Gold", IF(D31="Groupe", 'Paramètre'!$B$7, 'Paramètre'!$B$6), IF(C31="Silver", IF(D31="Groupe", 'Paramètre'!$B$5, 'Paramètre'!$B$4), IF(C31="Bronze", IF(TRIM(E31)="Yes", 'Paramètre'!$B$2, 'Paramètre'!$B$3), 0))))</f>
        <v>5</v>
      </c>
      <c r="G31" s="4" t="s">
        <v>10</v>
      </c>
      <c r="J31" s="4"/>
      <c r="L31" s="7"/>
    </row>
    <row r="32">
      <c r="A32" s="6">
        <v>46122.0</v>
      </c>
      <c r="B32" s="4" t="s">
        <v>56</v>
      </c>
      <c r="C32" s="4" t="s">
        <v>25</v>
      </c>
      <c r="D32" s="4" t="s">
        <v>20</v>
      </c>
      <c r="E32" s="4" t="s">
        <v>45</v>
      </c>
      <c r="F32" s="5">
        <f>IF(C32="Key", 'Paramètre'!$B$8, IF(C32="Gold", IF(D32="Groupe", 'Paramètre'!$B$7, 'Paramètre'!$B$6), IF(C32="Silver", IF(D32="Groupe", 'Paramètre'!$B$5, 'Paramètre'!$B$4), IF(C32="Bronze", IF(TRIM(E32)="Yes", 'Paramètre'!$B$2, 'Paramètre'!$B$3), 0))))</f>
        <v>1</v>
      </c>
      <c r="G32" s="4" t="s">
        <v>5</v>
      </c>
    </row>
    <row r="33">
      <c r="A33" s="6">
        <v>46127.0</v>
      </c>
      <c r="B33" s="4" t="s">
        <v>57</v>
      </c>
      <c r="C33" s="4" t="s">
        <v>27</v>
      </c>
      <c r="D33" s="4" t="s">
        <v>20</v>
      </c>
      <c r="E33" s="4" t="s">
        <v>21</v>
      </c>
      <c r="F33" s="5">
        <f>IF(C33="Key", 'Paramètre'!$B$8, IF(C33="Gold", IF(D33="Groupe", 'Paramètre'!$B$7, 'Paramètre'!$B$6), IF(C33="Silver", IF(D33="Groupe", 'Paramètre'!$B$5, 'Paramètre'!$B$4), IF(C33="Bronze", IF(TRIM(E33)="Yes", 'Paramètre'!$B$2, 'Paramètre'!$B$3), 0))))</f>
        <v>3</v>
      </c>
      <c r="G33" s="4" t="s">
        <v>9</v>
      </c>
      <c r="J33" s="9"/>
      <c r="L33" s="7"/>
    </row>
    <row r="34">
      <c r="A34" s="6">
        <v>46127.0</v>
      </c>
      <c r="B34" s="4" t="s">
        <v>58</v>
      </c>
      <c r="C34" s="4" t="s">
        <v>27</v>
      </c>
      <c r="D34" s="4" t="s">
        <v>20</v>
      </c>
      <c r="E34" s="4" t="s">
        <v>21</v>
      </c>
      <c r="F34" s="5">
        <f>IF(C34="Key", 'Paramètre'!$B$8, IF(C34="Gold", IF(D34="Groupe", 'Paramètre'!$B$7, 'Paramètre'!$B$6), IF(C34="Silver", IF(D34="Groupe", 'Paramètre'!$B$5, 'Paramètre'!$B$4), IF(C34="Bronze", IF(TRIM(E34)="Yes", 'Paramètre'!$B$2, 'Paramètre'!$B$3), 0))))</f>
        <v>3</v>
      </c>
      <c r="G34" s="4" t="s">
        <v>10</v>
      </c>
    </row>
    <row r="35">
      <c r="A35" s="6">
        <v>46133.0</v>
      </c>
      <c r="B35" s="9" t="s">
        <v>59</v>
      </c>
      <c r="C35" s="4" t="s">
        <v>27</v>
      </c>
      <c r="D35" s="4" t="s">
        <v>23</v>
      </c>
      <c r="E35" s="4" t="s">
        <v>21</v>
      </c>
      <c r="F35" s="5">
        <f>IF(C35="Key", 'Paramètre'!$B$8, IF(C35="Gold", IF(D35="Groupe", 'Paramètre'!$B$7, 'Paramètre'!$B$6), IF(C35="Silver", IF(D35="Groupe", 'Paramètre'!$B$5, 'Paramètre'!$B$4), IF(C35="Bronze", IF(TRIM(E35)="Yes", 'Paramètre'!$B$2, 'Paramètre'!$B$3), 0))))</f>
        <v>4</v>
      </c>
      <c r="G35" s="4" t="s">
        <v>5</v>
      </c>
    </row>
    <row r="36">
      <c r="A36" s="6">
        <v>46134.0</v>
      </c>
      <c r="B36" s="9" t="s">
        <v>60</v>
      </c>
      <c r="C36" s="4" t="s">
        <v>27</v>
      </c>
      <c r="D36" s="4" t="s">
        <v>20</v>
      </c>
      <c r="E36" s="4" t="s">
        <v>21</v>
      </c>
      <c r="F36" s="5">
        <f>IF(C36="Key", 'Paramètre'!$B$8, IF(C36="Gold", IF(D36="Groupe", 'Paramètre'!$B$7, 'Paramètre'!$B$6), IF(C36="Silver", IF(D36="Groupe", 'Paramètre'!$B$5, 'Paramètre'!$B$4), IF(C36="Bronze", IF(TRIM(E36)="Yes", 'Paramètre'!$B$2, 'Paramètre'!$B$3), 0))))</f>
        <v>3</v>
      </c>
      <c r="G36" s="4" t="s">
        <v>7</v>
      </c>
    </row>
    <row r="37">
      <c r="A37" s="6">
        <v>46139.0</v>
      </c>
      <c r="B37" s="9" t="s">
        <v>61</v>
      </c>
      <c r="C37" s="4" t="s">
        <v>25</v>
      </c>
      <c r="D37" s="4" t="s">
        <v>20</v>
      </c>
      <c r="E37" s="4" t="s">
        <v>21</v>
      </c>
      <c r="F37" s="5">
        <f>IF(C37="Key", 'Paramètre'!$B$8, IF(C37="Gold", IF(D37="Groupe", 'Paramètre'!$B$7, 'Paramètre'!$B$6), IF(C37="Silver", IF(D37="Groupe", 'Paramètre'!$B$5, 'Paramètre'!$B$4), IF(C37="Bronze", IF(TRIM(E37)="Yes", 'Paramètre'!$B$2, 'Paramètre'!$B$3), 0))))</f>
        <v>2</v>
      </c>
      <c r="G37" s="4" t="s">
        <v>4</v>
      </c>
    </row>
    <row r="38">
      <c r="A38" s="6">
        <v>46139.0</v>
      </c>
      <c r="B38" s="9" t="s">
        <v>62</v>
      </c>
      <c r="C38" s="4" t="s">
        <v>25</v>
      </c>
      <c r="D38" s="4" t="s">
        <v>20</v>
      </c>
      <c r="E38" s="4" t="s">
        <v>21</v>
      </c>
      <c r="F38" s="5">
        <f>IF(C38="Key", 'Paramètre'!$B$8, IF(C38="Gold", IF(D38="Groupe", 'Paramètre'!$B$7, 'Paramètre'!$B$6), IF(C38="Silver", IF(D38="Groupe", 'Paramètre'!$B$5, 'Paramètre'!$B$4), IF(C38="Bronze", IF(TRIM(E38)="Yes", 'Paramètre'!$B$2, 'Paramètre'!$B$3), 0))))</f>
        <v>2</v>
      </c>
      <c r="G38" s="4" t="s">
        <v>5</v>
      </c>
    </row>
    <row r="39">
      <c r="A39" s="6">
        <v>46148.0</v>
      </c>
      <c r="B39" s="4" t="s">
        <v>63</v>
      </c>
      <c r="C39" s="4" t="s">
        <v>27</v>
      </c>
      <c r="D39" s="4" t="s">
        <v>20</v>
      </c>
      <c r="E39" s="4" t="s">
        <v>21</v>
      </c>
      <c r="F39" s="5">
        <f>IF(C39="Key", 'Paramètre'!$B$8, IF(C39="Gold", IF(D39="Groupe", 'Paramètre'!$B$7, 'Paramètre'!$B$6), IF(C39="Silver", IF(D39="Groupe", 'Paramètre'!$B$5, 'Paramètre'!$B$4), IF(C39="Bronze", IF(TRIM(E39)="Yes", 'Paramètre'!$B$2, 'Paramètre'!$B$3), 0))))</f>
        <v>3</v>
      </c>
      <c r="G39" s="4" t="s">
        <v>7</v>
      </c>
    </row>
    <row r="40">
      <c r="A40" s="6">
        <v>46154.0</v>
      </c>
      <c r="B40" s="4" t="s">
        <v>64</v>
      </c>
      <c r="C40" s="4" t="s">
        <v>19</v>
      </c>
      <c r="D40" s="4" t="s">
        <v>23</v>
      </c>
      <c r="E40" s="4" t="s">
        <v>21</v>
      </c>
      <c r="F40" s="5">
        <f>IF(C40="Key", 'Paramètre'!$B$8, IF(C40="Gold", IF(D40="Groupe", 'Paramètre'!$B$7, 'Paramètre'!$B$6), IF(C40="Silver", IF(D40="Groupe", 'Paramètre'!$B$5, 'Paramètre'!$B$4), IF(C40="Bronze", IF(TRIM(E40)="Yes", 'Paramètre'!$B$2, 'Paramètre'!$B$3), 0))))</f>
        <v>8</v>
      </c>
      <c r="G40" s="4" t="s">
        <v>7</v>
      </c>
    </row>
    <row r="41">
      <c r="A41" s="6">
        <v>46160.0</v>
      </c>
      <c r="B41" s="4" t="s">
        <v>65</v>
      </c>
      <c r="C41" s="4" t="s">
        <v>27</v>
      </c>
      <c r="D41" s="4" t="s">
        <v>20</v>
      </c>
      <c r="E41" s="4" t="s">
        <v>21</v>
      </c>
      <c r="F41" s="5">
        <f>IF(C41="Key", 'Paramètre'!$B$8, IF(C41="Gold", IF(D41="Groupe", 'Paramètre'!$B$7, 'Paramètre'!$B$6), IF(C41="Silver", IF(D41="Groupe", 'Paramètre'!$B$5, 'Paramètre'!$B$4), IF(C41="Bronze", IF(TRIM(E41)="Yes", 'Paramètre'!$B$2, 'Paramètre'!$B$3), 0))))</f>
        <v>3</v>
      </c>
      <c r="G41" s="4" t="s">
        <v>5</v>
      </c>
    </row>
    <row r="42">
      <c r="A42" s="6">
        <v>46161.0</v>
      </c>
      <c r="B42" s="4" t="s">
        <v>66</v>
      </c>
      <c r="C42" s="4" t="s">
        <v>27</v>
      </c>
      <c r="D42" s="4" t="s">
        <v>23</v>
      </c>
      <c r="E42" s="4" t="s">
        <v>21</v>
      </c>
      <c r="F42" s="5">
        <f>IF(C42="Key", 'Paramètre'!$B$8, IF(C42="Gold", IF(D42="Groupe", 'Paramètre'!$B$7, 'Paramètre'!$B$6), IF(C42="Silver", IF(D42="Groupe", 'Paramètre'!$B$5, 'Paramètre'!$B$4), IF(C42="Bronze", IF(TRIM(E42)="Yes", 'Paramètre'!$B$2, 'Paramètre'!$B$3), 0))))</f>
        <v>4</v>
      </c>
      <c r="G42" s="4" t="s">
        <v>7</v>
      </c>
    </row>
    <row r="43">
      <c r="A43" s="6">
        <v>46163.0</v>
      </c>
      <c r="B43" s="4" t="s">
        <v>67</v>
      </c>
      <c r="C43" s="4" t="s">
        <v>27</v>
      </c>
      <c r="D43" s="4" t="s">
        <v>20</v>
      </c>
      <c r="E43" s="4" t="s">
        <v>21</v>
      </c>
      <c r="F43" s="5">
        <f>IF(C43="Key", 'Paramètre'!$B$8, IF(C43="Gold", IF(D43="Groupe", 'Paramètre'!$B$7, 'Paramètre'!$B$6), IF(C43="Silver", IF(D43="Groupe", 'Paramètre'!$B$5, 'Paramètre'!$B$4), IF(C43="Bronze", IF(TRIM(E43)="Yes", 'Paramètre'!$B$2, 'Paramètre'!$B$3), 0))))</f>
        <v>3</v>
      </c>
      <c r="G43" s="4" t="s">
        <v>10</v>
      </c>
    </row>
    <row r="44">
      <c r="A44" s="6">
        <v>46164.0</v>
      </c>
      <c r="B44" s="4" t="s">
        <v>68</v>
      </c>
      <c r="C44" s="4" t="s">
        <v>27</v>
      </c>
      <c r="D44" s="4" t="s">
        <v>20</v>
      </c>
      <c r="E44" s="4" t="s">
        <v>21</v>
      </c>
      <c r="F44" s="5">
        <f>IF(C44="Key", 'Paramètre'!$B$8, IF(C44="Gold", IF(D44="Groupe", 'Paramètre'!$B$7, 'Paramètre'!$B$6), IF(C44="Silver", IF(D44="Groupe", 'Paramètre'!$B$5, 'Paramètre'!$B$4), IF(C44="Bronze", IF(TRIM(E44)="Yes", 'Paramètre'!$B$2, 'Paramètre'!$B$3), 0))))</f>
        <v>3</v>
      </c>
      <c r="G44" s="4" t="s">
        <v>5</v>
      </c>
    </row>
    <row r="45">
      <c r="A45" s="6">
        <v>46164.0</v>
      </c>
      <c r="B45" s="4" t="s">
        <v>69</v>
      </c>
      <c r="C45" s="4" t="s">
        <v>27</v>
      </c>
      <c r="D45" s="4" t="s">
        <v>20</v>
      </c>
      <c r="E45" s="4" t="s">
        <v>21</v>
      </c>
      <c r="F45" s="5">
        <f>IF(C45="Key", 'Paramètre'!$B$8, IF(C45="Gold", IF(D45="Groupe", 'Paramètre'!$B$7, 'Paramètre'!$B$6), IF(C45="Silver", IF(D45="Groupe", 'Paramètre'!$B$5, 'Paramètre'!$B$4), IF(C45="Bronze", IF(TRIM(E45)="Yes", 'Paramètre'!$B$2, 'Paramètre'!$B$3), 0))))</f>
        <v>3</v>
      </c>
      <c r="G45" s="4" t="s">
        <v>4</v>
      </c>
    </row>
    <row r="46">
      <c r="A46" s="6">
        <v>46168.0</v>
      </c>
      <c r="B46" s="4" t="s">
        <v>70</v>
      </c>
      <c r="C46" s="4" t="s">
        <v>27</v>
      </c>
      <c r="D46" s="4" t="s">
        <v>20</v>
      </c>
      <c r="E46" s="4" t="s">
        <v>21</v>
      </c>
      <c r="F46" s="5">
        <f>IF(C46="Key", 'Paramètre'!$B$8, IF(C46="Gold", IF(D46="Groupe", 'Paramètre'!$B$7, 'Paramètre'!$B$6), IF(C46="Silver", IF(D46="Groupe", 'Paramètre'!$B$5, 'Paramètre'!$B$4), IF(C46="Bronze", IF(TRIM(E46)="Yes", 'Paramètre'!$B$2, 'Paramètre'!$B$3), 0))))</f>
        <v>3</v>
      </c>
      <c r="G46" s="4" t="s">
        <v>5</v>
      </c>
    </row>
    <row r="47">
      <c r="A47" s="6">
        <v>46169.0</v>
      </c>
      <c r="B47" s="4" t="s">
        <v>71</v>
      </c>
      <c r="C47" s="4" t="s">
        <v>27</v>
      </c>
      <c r="D47" s="4" t="s">
        <v>20</v>
      </c>
      <c r="E47" s="4" t="s">
        <v>21</v>
      </c>
      <c r="F47" s="5">
        <f>IF(C47="Key", 'Paramètre'!$B$8, IF(C47="Gold", IF(D47="Groupe", 'Paramètre'!$B$7, 'Paramètre'!$B$6), IF(C47="Silver", IF(D47="Groupe", 'Paramètre'!$B$5, 'Paramètre'!$B$4), IF(C47="Bronze", IF(TRIM(E47)="Yes", 'Paramètre'!$B$2, 'Paramètre'!$B$3), 0))))</f>
        <v>3</v>
      </c>
      <c r="G47" s="4" t="s">
        <v>4</v>
      </c>
    </row>
    <row r="48">
      <c r="A48" s="6">
        <v>46171.0</v>
      </c>
      <c r="B48" s="4" t="s">
        <v>72</v>
      </c>
      <c r="C48" s="4" t="s">
        <v>27</v>
      </c>
      <c r="D48" s="4" t="s">
        <v>20</v>
      </c>
      <c r="E48" s="4" t="s">
        <v>21</v>
      </c>
      <c r="F48" s="5">
        <f>IF(C48="Key", 'Paramètre'!$B$8, IF(C48="Gold", IF(D48="Groupe", 'Paramètre'!$B$7, 'Paramètre'!$B$6), IF(C48="Silver", IF(D48="Groupe", 'Paramètre'!$B$5, 'Paramètre'!$B$4), IF(C48="Bronze", IF(TRIM(E48)="Yes", 'Paramètre'!$B$2, 'Paramètre'!$B$3), 0))))</f>
        <v>3</v>
      </c>
      <c r="G48" s="4" t="s">
        <v>5</v>
      </c>
    </row>
    <row r="49">
      <c r="A49" s="6">
        <v>46182.0</v>
      </c>
      <c r="B49" s="4" t="s">
        <v>73</v>
      </c>
      <c r="C49" s="4" t="s">
        <v>27</v>
      </c>
      <c r="D49" s="4" t="s">
        <v>20</v>
      </c>
      <c r="E49" s="4" t="s">
        <v>21</v>
      </c>
      <c r="F49" s="5">
        <f>IF(C49="Key", 'Paramètre'!$B$8, IF(C49="Gold", IF(D49="Groupe", 'Paramètre'!$B$7, 'Paramètre'!$B$6), IF(C49="Silver", IF(D49="Groupe", 'Paramètre'!$B$5, 'Paramètre'!$B$4), IF(C49="Bronze", IF(TRIM(E49)="Yes", 'Paramètre'!$B$2, 'Paramètre'!$B$3), 0))))</f>
        <v>3</v>
      </c>
      <c r="G49" s="4" t="s">
        <v>5</v>
      </c>
    </row>
    <row r="50">
      <c r="A50" s="6">
        <v>46183.0</v>
      </c>
      <c r="B50" s="4" t="s">
        <v>74</v>
      </c>
      <c r="C50" s="4" t="s">
        <v>27</v>
      </c>
      <c r="D50" s="4" t="s">
        <v>20</v>
      </c>
      <c r="E50" s="4" t="s">
        <v>21</v>
      </c>
      <c r="F50" s="5">
        <f>IF(C50="Key", 'Paramètre'!$B$8, IF(C50="Gold", IF(D50="Groupe", 'Paramètre'!$B$7, 'Paramètre'!$B$6), IF(C50="Silver", IF(D50="Groupe", 'Paramètre'!$B$5, 'Paramètre'!$B$4), IF(C50="Bronze", IF(TRIM(E50)="Yes", 'Paramètre'!$B$2, 'Paramètre'!$B$3), 0))))</f>
        <v>3</v>
      </c>
      <c r="G50" s="4" t="s">
        <v>4</v>
      </c>
    </row>
    <row r="51">
      <c r="A51" s="6">
        <v>46183.0</v>
      </c>
      <c r="B51" s="4" t="s">
        <v>75</v>
      </c>
      <c r="C51" s="4" t="s">
        <v>27</v>
      </c>
      <c r="D51" s="4" t="s">
        <v>20</v>
      </c>
      <c r="E51" s="4" t="s">
        <v>21</v>
      </c>
      <c r="F51" s="5">
        <f>IF(C51="Key", 'Paramètre'!$B$8, IF(C51="Gold", IF(D51="Groupe", 'Paramètre'!$B$7, 'Paramètre'!$B$6), IF(C51="Silver", IF(D51="Groupe", 'Paramètre'!$B$5, 'Paramètre'!$B$4), IF(C51="Bronze", IF(TRIM(E51)="Yes", 'Paramètre'!$B$2, 'Paramètre'!$B$3), 0))))</f>
        <v>3</v>
      </c>
      <c r="G51" s="4" t="s">
        <v>4</v>
      </c>
    </row>
    <row r="52">
      <c r="A52" s="6">
        <v>46184.0</v>
      </c>
      <c r="B52" s="4" t="s">
        <v>76</v>
      </c>
      <c r="C52" s="4" t="s">
        <v>25</v>
      </c>
      <c r="D52" s="4" t="s">
        <v>20</v>
      </c>
      <c r="E52" s="4" t="s">
        <v>45</v>
      </c>
      <c r="F52" s="5">
        <f>IF(C52="Key", 'Paramètre'!$B$8, IF(C52="Gold", IF(D52="Groupe", 'Paramètre'!$B$7, 'Paramètre'!$B$6), IF(C52="Silver", IF(D52="Groupe", 'Paramètre'!$B$5, 'Paramètre'!$B$4), IF(C52="Bronze", IF(TRIM(E52)="Yes", 'Paramètre'!$B$2, 'Paramètre'!$B$3), 0))))</f>
        <v>1</v>
      </c>
      <c r="G52" s="4" t="s">
        <v>4</v>
      </c>
    </row>
    <row r="53">
      <c r="A53" s="6">
        <v>46184.0</v>
      </c>
      <c r="B53" s="4" t="s">
        <v>77</v>
      </c>
      <c r="C53" s="4" t="s">
        <v>27</v>
      </c>
      <c r="D53" s="4" t="s">
        <v>23</v>
      </c>
      <c r="E53" s="4" t="s">
        <v>21</v>
      </c>
      <c r="F53" s="5">
        <f>IF(C53="Key", 'Paramètre'!$B$8, IF(C53="Gold", IF(D53="Groupe", 'Paramètre'!$B$7, 'Paramètre'!$B$6), IF(C53="Silver", IF(D53="Groupe", 'Paramètre'!$B$5, 'Paramètre'!$B$4), IF(C53="Bronze", IF(TRIM(E53)="Yes", 'Paramètre'!$B$2, 'Paramètre'!$B$3), 0))))</f>
        <v>4</v>
      </c>
      <c r="G53" s="4" t="s">
        <v>8</v>
      </c>
    </row>
    <row r="54">
      <c r="A54" s="6">
        <v>46188.0</v>
      </c>
      <c r="B54" s="4" t="s">
        <v>78</v>
      </c>
      <c r="C54" s="4" t="s">
        <v>27</v>
      </c>
      <c r="D54" s="4" t="s">
        <v>20</v>
      </c>
      <c r="E54" s="4" t="s">
        <v>21</v>
      </c>
      <c r="F54" s="5">
        <f>IF(C54="Key", 'Paramètre'!$B$8, IF(C54="Gold", IF(D54="Groupe", 'Paramètre'!$B$7, 'Paramètre'!$B$6), IF(C54="Silver", IF(D54="Groupe", 'Paramètre'!$B$5, 'Paramètre'!$B$4), IF(C54="Bronze", IF(TRIM(E54)="Yes", 'Paramètre'!$B$2, 'Paramètre'!$B$3), 0))))</f>
        <v>3</v>
      </c>
      <c r="G54" s="4" t="s">
        <v>4</v>
      </c>
    </row>
    <row r="55">
      <c r="A55" s="6">
        <v>46188.0</v>
      </c>
      <c r="B55" s="4" t="s">
        <v>79</v>
      </c>
      <c r="C55" s="4" t="s">
        <v>27</v>
      </c>
      <c r="D55" s="4" t="s">
        <v>20</v>
      </c>
      <c r="E55" s="4" t="s">
        <v>21</v>
      </c>
      <c r="F55" s="5">
        <f>IF(C55="Key", 'Paramètre'!$B$8, IF(C55="Gold", IF(D55="Groupe", 'Paramètre'!$B$7, 'Paramètre'!$B$6), IF(C55="Silver", IF(D55="Groupe", 'Paramètre'!$B$5, 'Paramètre'!$B$4), IF(C55="Bronze", IF(TRIM(E55)="Yes", 'Paramètre'!$B$2, 'Paramètre'!$B$3), 0))))</f>
        <v>3</v>
      </c>
      <c r="G55" s="4" t="s">
        <v>7</v>
      </c>
    </row>
    <row r="56">
      <c r="A56" s="6">
        <v>46188.0</v>
      </c>
      <c r="B56" s="4" t="s">
        <v>80</v>
      </c>
      <c r="C56" s="4" t="s">
        <v>27</v>
      </c>
      <c r="D56" s="4" t="s">
        <v>20</v>
      </c>
      <c r="E56" s="4" t="s">
        <v>21</v>
      </c>
      <c r="F56" s="5">
        <f>IF(C56="Key", 'Paramètre'!$B$8, IF(C56="Gold", IF(D56="Groupe", 'Paramètre'!$B$7, 'Paramètre'!$B$6), IF(C56="Silver", IF(D56="Groupe", 'Paramètre'!$B$5, 'Paramètre'!$B$4), IF(C56="Bronze", IF(TRIM(E56)="Yes", 'Paramètre'!$B$2, 'Paramètre'!$B$3), 0))))</f>
        <v>3</v>
      </c>
      <c r="G56" s="4" t="s">
        <v>8</v>
      </c>
    </row>
    <row r="57">
      <c r="A57" s="6">
        <v>46188.0</v>
      </c>
      <c r="B57" s="4" t="s">
        <v>81</v>
      </c>
      <c r="C57" s="4" t="s">
        <v>25</v>
      </c>
      <c r="D57" s="4" t="s">
        <v>20</v>
      </c>
      <c r="E57" s="4" t="s">
        <v>21</v>
      </c>
      <c r="F57" s="5">
        <f>IF(C57="Key", 'Paramètre'!$B$8, IF(C57="Gold", IF(D57="Groupe", 'Paramètre'!$B$7, 'Paramètre'!$B$6), IF(C57="Silver", IF(D57="Groupe", 'Paramètre'!$B$5, 'Paramètre'!$B$4), IF(C57="Bronze", IF(TRIM(E57)="Yes", 'Paramètre'!$B$2, 'Paramètre'!$B$3), 0))))</f>
        <v>2</v>
      </c>
      <c r="G57" s="4" t="s">
        <v>6</v>
      </c>
    </row>
    <row r="58">
      <c r="A58" s="6">
        <v>46195.0</v>
      </c>
      <c r="B58" s="4" t="s">
        <v>82</v>
      </c>
      <c r="C58" s="4" t="s">
        <v>27</v>
      </c>
      <c r="D58" s="4" t="s">
        <v>20</v>
      </c>
      <c r="E58" s="4" t="s">
        <v>21</v>
      </c>
      <c r="F58" s="5">
        <f>IF(C58="Key", 'Paramètre'!$B$8, IF(C58="Gold", IF(D58="Groupe", 'Paramètre'!$B$7, 'Paramètre'!$B$6), IF(C58="Silver", IF(D58="Groupe", 'Paramètre'!$B$5, 'Paramètre'!$B$4), IF(C58="Bronze", IF(TRIM(E58)="Yes", 'Paramètre'!$B$2, 'Paramètre'!$B$3), 0))))</f>
        <v>3</v>
      </c>
      <c r="G58" s="4" t="s">
        <v>7</v>
      </c>
    </row>
    <row r="59">
      <c r="A59" s="6">
        <v>46197.0</v>
      </c>
      <c r="B59" s="4" t="s">
        <v>83</v>
      </c>
      <c r="C59" s="4" t="s">
        <v>27</v>
      </c>
      <c r="D59" s="4" t="s">
        <v>20</v>
      </c>
      <c r="E59" s="4" t="s">
        <v>21</v>
      </c>
      <c r="F59" s="5">
        <f>IF(C59="Key", 'Paramètre'!$B$8, IF(C59="Gold", IF(D59="Groupe", 'Paramètre'!$B$7, 'Paramètre'!$B$6), IF(C59="Silver", IF(D59="Groupe", 'Paramètre'!$B$5, 'Paramètre'!$B$4), IF(C59="Bronze", IF(TRIM(E59)="Yes", 'Paramètre'!$B$2, 'Paramètre'!$B$3), 0))))</f>
        <v>3</v>
      </c>
      <c r="G59" s="4" t="s">
        <v>5</v>
      </c>
    </row>
    <row r="60">
      <c r="A60" s="6">
        <v>46198.0</v>
      </c>
      <c r="B60" s="4" t="s">
        <v>84</v>
      </c>
      <c r="C60" s="4" t="s">
        <v>25</v>
      </c>
      <c r="D60" s="4" t="s">
        <v>20</v>
      </c>
      <c r="E60" s="4" t="s">
        <v>45</v>
      </c>
      <c r="F60" s="5">
        <f>IF(C60="Key", 'Paramètre'!$B$8, IF(C60="Gold", IF(D60="Groupe", 'Paramètre'!$B$7, 'Paramètre'!$B$6), IF(C60="Silver", IF(D60="Groupe", 'Paramètre'!$B$5, 'Paramètre'!$B$4), IF(C60="Bronze", IF(TRIM(E60)="Yes", 'Paramètre'!$B$2, 'Paramètre'!$B$3), 0))))</f>
        <v>1</v>
      </c>
      <c r="G60" s="4" t="s">
        <v>5</v>
      </c>
    </row>
    <row r="61">
      <c r="A61" s="6">
        <v>46199.0</v>
      </c>
      <c r="B61" s="4" t="s">
        <v>85</v>
      </c>
      <c r="C61" s="4" t="s">
        <v>27</v>
      </c>
      <c r="D61" s="4" t="s">
        <v>20</v>
      </c>
      <c r="E61" s="4" t="s">
        <v>21</v>
      </c>
      <c r="F61" s="5">
        <f>IF(C61="Key", 'Paramètre'!$B$8, IF(C61="Gold", IF(D61="Groupe", 'Paramètre'!$B$7, 'Paramètre'!$B$6), IF(C61="Silver", IF(D61="Groupe", 'Paramètre'!$B$5, 'Paramètre'!$B$4), IF(C61="Bronze", IF(TRIM(E61)="Yes", 'Paramètre'!$B$2, 'Paramètre'!$B$3), 0))))</f>
        <v>3</v>
      </c>
      <c r="G61" s="4" t="s">
        <v>6</v>
      </c>
    </row>
    <row r="62">
      <c r="A62" s="6">
        <v>46199.0</v>
      </c>
      <c r="B62" s="4" t="s">
        <v>86</v>
      </c>
      <c r="C62" s="4" t="s">
        <v>27</v>
      </c>
      <c r="D62" s="4" t="s">
        <v>20</v>
      </c>
      <c r="E62" s="4" t="s">
        <v>21</v>
      </c>
      <c r="F62" s="5">
        <f>IF(C62="Key", 'Paramètre'!$B$8, IF(C62="Gold", IF(D62="Groupe", 'Paramètre'!$B$7, 'Paramètre'!$B$6), IF(C62="Silver", IF(D62="Groupe", 'Paramètre'!$B$5, 'Paramètre'!$B$4), IF(C62="Bronze", IF(TRIM(E62)="Yes", 'Paramètre'!$B$2, 'Paramètre'!$B$3), 0))))</f>
        <v>3</v>
      </c>
      <c r="G62" s="4" t="s">
        <v>8</v>
      </c>
    </row>
    <row r="63">
      <c r="A63" s="6">
        <v>46199.0</v>
      </c>
      <c r="B63" s="4" t="s">
        <v>87</v>
      </c>
      <c r="C63" s="4" t="s">
        <v>27</v>
      </c>
      <c r="D63" s="4" t="s">
        <v>23</v>
      </c>
      <c r="E63" s="4" t="s">
        <v>21</v>
      </c>
      <c r="F63" s="5">
        <f>IF(C63="Key", 'Paramètre'!$B$8, IF(C63="Gold", IF(D63="Groupe", 'Paramètre'!$B$7, 'Paramètre'!$B$6), IF(C63="Silver", IF(D63="Groupe", 'Paramètre'!$B$5, 'Paramètre'!$B$4), IF(C63="Bronze", IF(TRIM(E63)="Yes", 'Paramètre'!$B$2, 'Paramètre'!$B$3), 0))))</f>
        <v>4</v>
      </c>
      <c r="G63" s="4" t="s">
        <v>8</v>
      </c>
    </row>
    <row r="64">
      <c r="A64" s="6">
        <v>46199.0</v>
      </c>
      <c r="B64" s="4" t="s">
        <v>88</v>
      </c>
      <c r="C64" s="4" t="s">
        <v>27</v>
      </c>
      <c r="D64" s="4" t="s">
        <v>20</v>
      </c>
      <c r="E64" s="4" t="s">
        <v>21</v>
      </c>
      <c r="F64" s="5">
        <f>IF(C64="Key", 'Paramètre'!$B$8, IF(C64="Gold", IF(D64="Groupe", 'Paramètre'!$B$7, 'Paramètre'!$B$6), IF(C64="Silver", IF(D64="Groupe", 'Paramètre'!$B$5, 'Paramètre'!$B$4), IF(C64="Bronze", IF(TRIM(E64)="Yes", 'Paramètre'!$B$2, 'Paramètre'!$B$3), 0))))</f>
        <v>3</v>
      </c>
      <c r="G64" s="4" t="s">
        <v>5</v>
      </c>
    </row>
    <row r="65">
      <c r="A65" s="6">
        <v>46210.0</v>
      </c>
      <c r="B65" s="4" t="s">
        <v>89</v>
      </c>
      <c r="C65" s="4" t="s">
        <v>25</v>
      </c>
      <c r="D65" s="4" t="s">
        <v>20</v>
      </c>
      <c r="E65" s="4" t="s">
        <v>21</v>
      </c>
      <c r="F65" s="5">
        <f>IF(C65="Key", 'Paramètre'!$B$8, IF(C65="Gold", IF(D65="Groupe", 'Paramètre'!$B$7, 'Paramètre'!$B$6), IF(C65="Silver", IF(D65="Groupe", 'Paramètre'!$B$5, 'Paramètre'!$B$4), IF(C65="Bronze", IF(TRIM(E65)="Yes", 'Paramètre'!$B$2, 'Paramètre'!$B$3), 0))))</f>
        <v>2</v>
      </c>
      <c r="G65" s="4" t="s">
        <v>10</v>
      </c>
    </row>
    <row r="66">
      <c r="A66" s="6">
        <v>46210.0</v>
      </c>
      <c r="B66" s="4" t="s">
        <v>24</v>
      </c>
      <c r="C66" s="4" t="s">
        <v>25</v>
      </c>
      <c r="D66" s="4" t="s">
        <v>20</v>
      </c>
      <c r="E66" s="4" t="s">
        <v>21</v>
      </c>
      <c r="F66" s="5">
        <f>IF(C66="Key", 'Paramètre'!$B$8, IF(C66="Gold", IF(D66="Groupe", 'Paramètre'!$B$7, 'Paramètre'!$B$6), IF(C66="Silver", IF(D66="Groupe", 'Paramètre'!$B$5, 'Paramètre'!$B$4), IF(C66="Bronze", IF(TRIM(E66)="Yes", 'Paramètre'!$B$2, 'Paramètre'!$B$3), 0))))</f>
        <v>2</v>
      </c>
      <c r="G66" s="4" t="s">
        <v>5</v>
      </c>
    </row>
    <row r="67">
      <c r="A67" s="6">
        <v>46210.0</v>
      </c>
      <c r="B67" s="4" t="s">
        <v>90</v>
      </c>
      <c r="C67" s="4" t="s">
        <v>27</v>
      </c>
      <c r="D67" s="4" t="s">
        <v>20</v>
      </c>
      <c r="E67" s="4" t="s">
        <v>21</v>
      </c>
      <c r="F67" s="5">
        <f>IF(C67="Key", 'Paramètre'!$B$8, IF(C67="Gold", IF(D67="Groupe", 'Paramètre'!$B$7, 'Paramètre'!$B$6), IF(C67="Silver", IF(D67="Groupe", 'Paramètre'!$B$5, 'Paramètre'!$B$4), IF(C67="Bronze", IF(TRIM(E67)="Yes", 'Paramètre'!$B$2, 'Paramètre'!$B$3), 0))))</f>
        <v>3</v>
      </c>
      <c r="G67" s="4" t="s">
        <v>4</v>
      </c>
    </row>
    <row r="68">
      <c r="A68" s="6">
        <v>46212.0</v>
      </c>
      <c r="B68" s="4" t="s">
        <v>91</v>
      </c>
      <c r="C68" s="4" t="s">
        <v>27</v>
      </c>
      <c r="D68" s="4" t="s">
        <v>20</v>
      </c>
      <c r="E68" s="4" t="s">
        <v>21</v>
      </c>
      <c r="F68" s="5">
        <f>IF(C68="Key", 'Paramètre'!$B$8, IF(C68="Gold", IF(D68="Groupe", 'Paramètre'!$B$7, 'Paramètre'!$B$6), IF(C68="Silver", IF(D68="Groupe", 'Paramètre'!$B$5, 'Paramètre'!$B$4), IF(C68="Bronze", IF(TRIM(E68)="Yes", 'Paramètre'!$B$2, 'Paramètre'!$B$3), 0))))</f>
        <v>3</v>
      </c>
      <c r="G68" s="4" t="s">
        <v>5</v>
      </c>
    </row>
    <row r="69">
      <c r="A69" s="6">
        <v>46213.0</v>
      </c>
      <c r="B69" s="4" t="s">
        <v>92</v>
      </c>
      <c r="C69" s="4" t="s">
        <v>27</v>
      </c>
      <c r="D69" s="4" t="s">
        <v>20</v>
      </c>
      <c r="E69" s="4" t="s">
        <v>21</v>
      </c>
      <c r="F69" s="5">
        <f>IF(C69="Key", 'Paramètre'!$B$8, IF(C69="Gold", IF(D69="Groupe", 'Paramètre'!$B$7, 'Paramètre'!$B$6), IF(C69="Silver", IF(D69="Groupe", 'Paramètre'!$B$5, 'Paramètre'!$B$4), IF(C69="Bronze", IF(TRIM(E69)="Yes", 'Paramètre'!$B$2, 'Paramètre'!$B$3), 0))))</f>
        <v>3</v>
      </c>
      <c r="G69" s="4" t="s">
        <v>5</v>
      </c>
    </row>
    <row r="70">
      <c r="A70" s="6">
        <v>46220.0</v>
      </c>
      <c r="B70" s="4" t="s">
        <v>93</v>
      </c>
      <c r="C70" s="4" t="s">
        <v>25</v>
      </c>
      <c r="D70" s="4" t="s">
        <v>20</v>
      </c>
      <c r="E70" s="4" t="s">
        <v>21</v>
      </c>
      <c r="F70" s="5">
        <f>IF(C70="Key", 'Paramètre'!$B$8, IF(C70="Gold", IF(D70="Groupe", 'Paramètre'!$B$7, 'Paramètre'!$B$6), IF(C70="Silver", IF(D70="Groupe", 'Paramètre'!$B$5, 'Paramètre'!$B$4), IF(C70="Bronze", IF(TRIM(E70)="Yes", 'Paramètre'!$B$2, 'Paramètre'!$B$3), 0))))</f>
        <v>2</v>
      </c>
      <c r="G70" s="4" t="s">
        <v>10</v>
      </c>
    </row>
    <row r="71">
      <c r="A71" s="6">
        <v>46220.0</v>
      </c>
      <c r="B71" s="4" t="s">
        <v>94</v>
      </c>
      <c r="C71" s="4" t="s">
        <v>27</v>
      </c>
      <c r="D71" s="4" t="s">
        <v>20</v>
      </c>
      <c r="E71" s="4" t="s">
        <v>21</v>
      </c>
      <c r="F71" s="5">
        <f>IF(C71="Key", 'Paramètre'!$B$8, IF(C71="Gold", IF(D71="Groupe", 'Paramètre'!$B$7, 'Paramètre'!$B$6), IF(C71="Silver", IF(D71="Groupe", 'Paramètre'!$B$5, 'Paramètre'!$B$4), IF(C71="Bronze", IF(TRIM(E71)="Yes", 'Paramètre'!$B$2, 'Paramètre'!$B$3), 0))))</f>
        <v>3</v>
      </c>
      <c r="G71" s="4" t="s">
        <v>4</v>
      </c>
    </row>
    <row r="72">
      <c r="A72" s="6">
        <v>46223.0</v>
      </c>
      <c r="B72" s="4" t="s">
        <v>95</v>
      </c>
      <c r="C72" s="4" t="s">
        <v>27</v>
      </c>
      <c r="D72" s="4" t="s">
        <v>20</v>
      </c>
      <c r="E72" s="4" t="s">
        <v>21</v>
      </c>
      <c r="F72" s="5">
        <f>IF(C72="Key", 'Paramètre'!$B$8, IF(C72="Gold", IF(D72="Groupe", 'Paramètre'!$B$7, 'Paramètre'!$B$6), IF(C72="Silver", IF(D72="Groupe", 'Paramètre'!$B$5, 'Paramètre'!$B$4), IF(C72="Bronze", IF(TRIM(E72)="Yes", 'Paramètre'!$B$2, 'Paramètre'!$B$3), 0))))</f>
        <v>3</v>
      </c>
      <c r="G72" s="4" t="s">
        <v>8</v>
      </c>
    </row>
  </sheetData>
  <dataValidations>
    <dataValidation type="list" allowBlank="1" showErrorMessage="1" sqref="G2:G72">
      <formula1>"Anne-Charlotte,Laurane,Deydra,Sherazade,Tara,Aika ,Ghislaine "</formula1>
    </dataValidation>
    <dataValidation type="list" allowBlank="1" showErrorMessage="1" sqref="D2:D72">
      <formula1>"Individuel,Groupe"</formula1>
    </dataValidation>
    <dataValidation type="list" allowBlank="1" showErrorMessage="1" sqref="C2:C72">
      <formula1>"Key,Gold,Silver,Bronze"</formula1>
    </dataValidation>
    <dataValidation type="list" allowBlank="1" showErrorMessage="1" sqref="E2:E72">
      <formula1>"Yes,No"</formula1>
    </dataValidation>
  </dataValidation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8.5"/>
  </cols>
  <sheetData>
    <row r="1">
      <c r="A1" s="10" t="s">
        <v>96</v>
      </c>
      <c r="B1" s="10" t="s">
        <v>16</v>
      </c>
    </row>
    <row r="2">
      <c r="A2" s="11" t="s">
        <v>97</v>
      </c>
      <c r="B2" s="12">
        <v>1.0</v>
      </c>
    </row>
    <row r="3">
      <c r="A3" s="11" t="s">
        <v>25</v>
      </c>
      <c r="B3" s="13">
        <v>2.0</v>
      </c>
    </row>
    <row r="4">
      <c r="A4" s="10" t="s">
        <v>98</v>
      </c>
      <c r="B4" s="13">
        <v>3.0</v>
      </c>
    </row>
    <row r="5">
      <c r="A5" s="10" t="s">
        <v>99</v>
      </c>
      <c r="B5" s="13">
        <v>4.0</v>
      </c>
    </row>
    <row r="6">
      <c r="A6" s="10" t="s">
        <v>19</v>
      </c>
      <c r="B6" s="12">
        <v>5.0</v>
      </c>
    </row>
    <row r="7">
      <c r="A7" s="11" t="s">
        <v>100</v>
      </c>
      <c r="B7" s="13">
        <v>8.0</v>
      </c>
    </row>
    <row r="8">
      <c r="A8" s="10" t="s">
        <v>39</v>
      </c>
      <c r="B8" s="13">
        <v>10.0</v>
      </c>
    </row>
    <row r="9">
      <c r="A9" s="10"/>
      <c r="B9" s="10"/>
    </row>
    <row r="10">
      <c r="A10" s="10"/>
      <c r="B10" s="10"/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sheetData>
    <row r="1"/>
    <row r="2"/>
    <row r="3"/>
    <row r="4"/>
    <row r="5"/>
    <row r="6"/>
    <row r="7"/>
    <row r="8"/>
    <row r="9"/>
  </sheetData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B1" s="15" t="s">
        <v>109</v>
      </c>
    </row>
    <row r="2">
      <c r="B2" s="16" t="s">
        <v>110</v>
      </c>
      <c r="C2" s="17">
        <f>COUNTIFS(Journal!C:C, "Bronze", Journal!E:E, "Yes")</f>
        <v>9</v>
      </c>
      <c r="D2" s="18">
        <f t="shared" ref="D2:D8" si="1">C2 / SUM($C$2:$C$8)</f>
        <v>0.1267605634</v>
      </c>
    </row>
    <row r="3">
      <c r="B3" s="19" t="s">
        <v>111</v>
      </c>
      <c r="C3" s="17">
        <f>COUNTIFS(Journal!C:C, "Bronze", Journal!E:E, "No")</f>
        <v>14</v>
      </c>
      <c r="D3" s="18">
        <f t="shared" si="1"/>
        <v>0.1971830986</v>
      </c>
    </row>
    <row r="4">
      <c r="B4" s="19" t="s">
        <v>112</v>
      </c>
      <c r="C4" s="17">
        <f>COUNTIFS(Journal!C:C, "Silver", Journal!D:D, "Individuel")</f>
        <v>36</v>
      </c>
      <c r="D4" s="18">
        <f t="shared" si="1"/>
        <v>0.5070422535</v>
      </c>
    </row>
    <row r="5">
      <c r="B5" s="19" t="s">
        <v>113</v>
      </c>
      <c r="C5" s="17">
        <f>COUNTIFS(Journal!C:C, "Silver", Journal!D:D, "Groupe")</f>
        <v>6</v>
      </c>
      <c r="D5" s="18">
        <f t="shared" si="1"/>
        <v>0.08450704225</v>
      </c>
    </row>
    <row r="6">
      <c r="B6" s="19" t="s">
        <v>114</v>
      </c>
      <c r="C6" s="17">
        <f>COUNTIFS(Journal!C:C, "Gold", Journal!D:D, "Individuel")</f>
        <v>2</v>
      </c>
      <c r="D6" s="18">
        <f t="shared" si="1"/>
        <v>0.02816901408</v>
      </c>
    </row>
    <row r="7">
      <c r="B7" s="19" t="s">
        <v>115</v>
      </c>
      <c r="C7" s="17">
        <f>COUNTIFS(Journal!C:C, "Gold", Journal!D:D, "Groupe")</f>
        <v>2</v>
      </c>
      <c r="D7" s="18">
        <f t="shared" si="1"/>
        <v>0.02816901408</v>
      </c>
    </row>
    <row r="8">
      <c r="B8" s="19" t="s">
        <v>116</v>
      </c>
      <c r="C8" s="17">
        <f>COUNTIF(Journal!C:C, "Key")</f>
        <v>2</v>
      </c>
      <c r="D8" s="18">
        <f t="shared" si="1"/>
        <v>0.02816901408</v>
      </c>
    </row>
  </sheetData>
  <mergeCells count="1">
    <mergeCell ref="B1:D1"/>
  </mergeCells>
  <drawing r:id="rId1"/>
</worksheet>
</file>